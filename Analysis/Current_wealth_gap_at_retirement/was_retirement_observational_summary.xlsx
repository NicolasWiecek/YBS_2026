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NicolasWiecek\GitHub\YBS_WAS_modelling\YBS_2026\Analysis\Current_wealth_gap_at_retirement\"/>
    </mc:Choice>
  </mc:AlternateContent>
  <xr:revisionPtr revIDLastSave="0" documentId="13_ncr:1_{991BAED5-1B58-4CD7-9285-8B113CA46D00}" xr6:coauthVersionLast="47" xr6:coauthVersionMax="47" xr10:uidLastSave="{00000000-0000-0000-0000-000000000000}"/>
  <bookViews>
    <workbookView xWindow="-90" yWindow="-18120" windowWidth="29040" windowHeight="17520" activeTab="4" xr2:uid="{00000000-000D-0000-FFFF-FFFF00000000}"/>
  </bookViews>
  <sheets>
    <sheet name="structure" sheetId="1" r:id="rId1"/>
    <sheet name="sample_sizes" sheetId="2" r:id="rId2"/>
    <sheet name="overall_medians" sheetId="3" r:id="rId3"/>
    <sheet name="group_stats" sheetId="4" r:id="rId4"/>
    <sheet name="gaps" sheetId="5" r:id="rId5"/>
    <sheet name="renter_private_wealth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1" i="5" l="1"/>
</calcChain>
</file>

<file path=xl/sharedStrings.xml><?xml version="1.0" encoding="utf-8"?>
<sst xmlns="http://schemas.openxmlformats.org/spreadsheetml/2006/main" count="545" uniqueCount="119">
  <si>
    <t>round</t>
  </si>
  <si>
    <t>hh_path</t>
  </si>
  <si>
    <t>person_path</t>
  </si>
  <si>
    <t>hh_columns</t>
  </si>
  <si>
    <t>person_columns</t>
  </si>
  <si>
    <t>caser</t>
  </si>
  <si>
    <t>weight</t>
  </si>
  <si>
    <t>tenure</t>
  </si>
  <si>
    <t>total_wealth</t>
  </si>
  <si>
    <t>property_wealth</t>
  </si>
  <si>
    <t>financial_wealth</t>
  </si>
  <si>
    <t>physical_wealth</t>
  </si>
  <si>
    <t>income</t>
  </si>
  <si>
    <t>pension_wealth_hh</t>
  </si>
  <si>
    <t>pension_wealth_updated_hh</t>
  </si>
  <si>
    <t>person_caser</t>
  </si>
  <si>
    <t>hrp_flag</t>
  </si>
  <si>
    <t>age17</t>
  </si>
  <si>
    <t>person_pension</t>
  </si>
  <si>
    <t>C:\Users\NicolasWiecek\GitHub\YBS_WAS_modelling\source_data\WAS_data\was_round_5_hhold.tab</t>
  </si>
  <si>
    <t>C:\Users\NicolasWiecek\GitHub\YBS_WAS_modelling\source_data\WAS_data\was_round_5_person.tab</t>
  </si>
  <si>
    <t>CASER5</t>
  </si>
  <si>
    <t>r5xshhwgt</t>
  </si>
  <si>
    <t>Ten1R5_i</t>
  </si>
  <si>
    <t>TotWlthR5</t>
  </si>
  <si>
    <t>HPropWR5</t>
  </si>
  <si>
    <t>HFINWR5_Sum</t>
  </si>
  <si>
    <t>HphysWR5</t>
  </si>
  <si>
    <t>NetEquincAnnR5</t>
  </si>
  <si>
    <t>TOTPENR5_aggr</t>
  </si>
  <si>
    <t>HRP_RespW5</t>
  </si>
  <si>
    <t>DVAge17R5</t>
  </si>
  <si>
    <t>TOTPENR5</t>
  </si>
  <si>
    <t>C:\Users\NicolasWiecek\GitHub\YBS_WAS_modelling\source_data\WAS_data\was_round_6_hhold.tab</t>
  </si>
  <si>
    <t>C:\Users\NicolasWiecek\GitHub\YBS_WAS_modelling\source_data\WAS_data\was_round_6_person.tab</t>
  </si>
  <si>
    <t>CASER6</t>
  </si>
  <si>
    <t>R6xshhwgt</t>
  </si>
  <si>
    <t>Ten1R6_i</t>
  </si>
  <si>
    <t>TotWlthR6</t>
  </si>
  <si>
    <t>HpropWR6</t>
  </si>
  <si>
    <t>HFINWR6_Sum</t>
  </si>
  <si>
    <t>HphysWR6</t>
  </si>
  <si>
    <t>NetEquIncAnn_R6</t>
  </si>
  <si>
    <t>TotpenR6_aggr</t>
  </si>
  <si>
    <t>HRP_RespW6</t>
  </si>
  <si>
    <t>DVAge17R6</t>
  </si>
  <si>
    <t>TotpenR6</t>
  </si>
  <si>
    <t>C:\Users\NicolasWiecek\GitHub\YBS_WAS_modelling\source_data\WAS_data\was_round_7_hhold.tab</t>
  </si>
  <si>
    <t>C:\Users\NicolasWiecek\GitHub\YBS_WAS_modelling\source_data\WAS_data\was_round_7_person.tab</t>
  </si>
  <si>
    <t>CASER7</t>
  </si>
  <si>
    <t>R7xshhwgt</t>
  </si>
  <si>
    <t>ten1r7_i</t>
  </si>
  <si>
    <t>TotWlthR7</t>
  </si>
  <si>
    <t>HPropWR7</t>
  </si>
  <si>
    <t>HFINWR7_SUM</t>
  </si>
  <si>
    <t>HphysWR7</t>
  </si>
  <si>
    <t>netequincann_BHCR7</t>
  </si>
  <si>
    <t>TOTPENR7_aggr</t>
  </si>
  <si>
    <t>hrp_respr7</t>
  </si>
  <si>
    <t>DVAge17R7</t>
  </si>
  <si>
    <t>TOTPENR7</t>
  </si>
  <si>
    <t>C:\Users\NicolasWiecek\GitHub\YBS_WAS_modelling\source_data\WAS_data\was_round_8_hhold.tab</t>
  </si>
  <si>
    <t>C:\Users\NicolasWiecek\GitHub\YBS_WAS_modelling\source_data\WAS_data\was_round_8_person.tab</t>
  </si>
  <si>
    <t>CASER8</t>
  </si>
  <si>
    <t>R8xshhwgt</t>
  </si>
  <si>
    <t>ten1r8_i</t>
  </si>
  <si>
    <t>TotWlth_oldR8</t>
  </si>
  <si>
    <t>HPropWR8</t>
  </si>
  <si>
    <t>HFINWR8_SUM</t>
  </si>
  <si>
    <t>HphysWR8</t>
  </si>
  <si>
    <t>NetEquIncAnn_BHCR8</t>
  </si>
  <si>
    <t>TOTPEN_oldR8_aggr</t>
  </si>
  <si>
    <t>totalpenr8_aggr</t>
  </si>
  <si>
    <t>hrp_respr8</t>
  </si>
  <si>
    <t>DVAge17R8</t>
  </si>
  <si>
    <t>totpen_oldr8</t>
  </si>
  <si>
    <t>all_households</t>
  </si>
  <si>
    <t>cohort_households</t>
  </si>
  <si>
    <t>cohort_owners</t>
  </si>
  <si>
    <t>cohort_renters</t>
  </si>
  <si>
    <t>weighted_households</t>
  </si>
  <si>
    <t>weighted_cohort_households</t>
  </si>
  <si>
    <t>inflation_factor_to_2022_prices</t>
  </si>
  <si>
    <t>round_end_month</t>
  </si>
  <si>
    <t>round_end_cpih_index_2015_100</t>
  </si>
  <si>
    <t>2016-03</t>
  </si>
  <si>
    <t>2018-03</t>
  </si>
  <si>
    <t>2020-03</t>
  </si>
  <si>
    <t>2022-03</t>
  </si>
  <si>
    <t>price_basis</t>
  </si>
  <si>
    <t>measure</t>
  </si>
  <si>
    <t>weighted_median</t>
  </si>
  <si>
    <t>Nominal</t>
  </si>
  <si>
    <t>Overall median household wealth</t>
  </si>
  <si>
    <t>Overall median household wealth excl private pension</t>
  </si>
  <si>
    <t>Real terms (March 2022 prices)</t>
  </si>
  <si>
    <t>March 2022 prices</t>
  </si>
  <si>
    <t>group</t>
  </si>
  <si>
    <t>weighted_mean</t>
  </si>
  <si>
    <t>Owner</t>
  </si>
  <si>
    <t>Total wealth</t>
  </si>
  <si>
    <t>Total wealth excl private pension</t>
  </si>
  <si>
    <t>Property wealth</t>
  </si>
  <si>
    <t>Financial wealth</t>
  </si>
  <si>
    <t>Private pension wealth</t>
  </si>
  <si>
    <t>Physical wealth</t>
  </si>
  <si>
    <t>Renter</t>
  </si>
  <si>
    <t>owner_mean</t>
  </si>
  <si>
    <t>renter_mean</t>
  </si>
  <si>
    <t>mean_gap</t>
  </si>
  <si>
    <t>mean_ratio</t>
  </si>
  <si>
    <t>owner_median</t>
  </si>
  <si>
    <t>renter_median</t>
  </si>
  <si>
    <t>median_gap</t>
  </si>
  <si>
    <t>median_ratio</t>
  </si>
  <si>
    <t>renters_weighted_count</t>
  </si>
  <si>
    <t>share_zero_private_wealth</t>
  </si>
  <si>
    <t>share_near_zero_private_wealth</t>
  </si>
  <si>
    <t>near_zero_threshold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</si>
</sst>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7" formatCode="_-* #,##0_-;\-* #,##0_-;_-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">
    <xf numFmtId="0" fontId="0" fillId="0" borderId="0" xfId="0"/>
    <xf numFmtId="167" fontId="0" fillId="0" borderId="0" xfId="1" applyNumberFormat="1" applyFont="1"/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gaps!$C$46</c:f>
              <c:strCache>
                <c:ptCount val="1"/>
                <c:pt idx="0">
                  <c:v>Property wealth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gaps!$F$46</c:f>
              <c:numCache>
                <c:formatCode>_-* #,##0_-;\-* #,##0_-;_-* "-"??_-;_-@_-</c:formatCode>
                <c:ptCount val="1"/>
                <c:pt idx="0">
                  <c:v>380679.24001951283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9A-4DD5-801B-FEE46E31492A}"/>
            </c:ext>
          </c:extLst>
        </c:ser>
        <c:ser>
          <c:idx val="1"/>
          <c:order val="1"/>
          <c:tx>
            <c:strRef>
              <c:f>gaps!$C$47</c:f>
              <c:strCache>
                <c:ptCount val="1"/>
                <c:pt idx="0">
                  <c:v>Financial wealth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gaps!$F$47</c:f>
              <c:numCache>
                <c:formatCode>_-* #,##0_-;\-* #,##0_-;_-* "-"??_-;_-@_-</c:formatCode>
                <c:ptCount val="1"/>
                <c:pt idx="0">
                  <c:v>134708.2595449989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D9A-4DD5-801B-FEE46E31492A}"/>
            </c:ext>
          </c:extLst>
        </c:ser>
        <c:ser>
          <c:idx val="2"/>
          <c:order val="2"/>
          <c:tx>
            <c:strRef>
              <c:f>gaps!$C$48</c:f>
              <c:strCache>
                <c:ptCount val="1"/>
                <c:pt idx="0">
                  <c:v>Private pension wealth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gaps!$F$48</c:f>
              <c:numCache>
                <c:formatCode>_-* #,##0_-;\-* #,##0_-;_-* "-"??_-;_-@_-</c:formatCode>
                <c:ptCount val="1"/>
                <c:pt idx="0">
                  <c:v>231203.78744682291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D9A-4DD5-801B-FEE46E31492A}"/>
            </c:ext>
          </c:extLst>
        </c:ser>
        <c:ser>
          <c:idx val="3"/>
          <c:order val="3"/>
          <c:tx>
            <c:strRef>
              <c:f>gaps!$C$49</c:f>
              <c:strCache>
                <c:ptCount val="1"/>
                <c:pt idx="0">
                  <c:v>Physical wealth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gaps!$F$49</c:f>
              <c:numCache>
                <c:formatCode>_-* #,##0_-;\-* #,##0_-;_-* "-"??_-;_-@_-</c:formatCode>
                <c:ptCount val="1"/>
                <c:pt idx="0">
                  <c:v>46566.056600528551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D9A-4DD5-801B-FEE46E3149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overlap val="100"/>
        <c:axId val="1577486464"/>
        <c:axId val="1577498464"/>
      </c:barChart>
      <c:catAx>
        <c:axId val="157748646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577498464"/>
        <c:crosses val="autoZero"/>
        <c:auto val="1"/>
        <c:lblAlgn val="ctr"/>
        <c:lblOffset val="100"/>
        <c:noMultiLvlLbl val="0"/>
      </c:catAx>
      <c:valAx>
        <c:axId val="1577498464"/>
        <c:scaling>
          <c:orientation val="minMax"/>
          <c:max val="80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£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74864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171450</xdr:colOff>
      <xdr:row>34</xdr:row>
      <xdr:rowOff>17462</xdr:rowOff>
    </xdr:from>
    <xdr:to>
      <xdr:col>21</xdr:col>
      <xdr:colOff>123825</xdr:colOff>
      <xdr:row>49</xdr:row>
      <xdr:rowOff>46037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34E8360-6C76-0C84-8125-423E5078AD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5"/>
  <sheetViews>
    <sheetView workbookViewId="0"/>
  </sheetViews>
  <sheetFormatPr defaultRowHeight="14.5" x14ac:dyDescent="0.35"/>
  <sheetData>
    <row r="1" spans="1:19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5">
      <c r="A2">
        <v>5</v>
      </c>
      <c r="B2" t="s">
        <v>19</v>
      </c>
      <c r="C2" t="s">
        <v>20</v>
      </c>
      <c r="D2">
        <v>1126</v>
      </c>
      <c r="E2">
        <v>6400</v>
      </c>
      <c r="F2" t="s">
        <v>21</v>
      </c>
      <c r="G2" t="s">
        <v>22</v>
      </c>
      <c r="H2" t="s">
        <v>23</v>
      </c>
      <c r="I2" t="s">
        <v>24</v>
      </c>
      <c r="J2" t="s">
        <v>25</v>
      </c>
      <c r="K2" t="s">
        <v>26</v>
      </c>
      <c r="L2" t="s">
        <v>27</v>
      </c>
      <c r="M2" t="s">
        <v>28</v>
      </c>
      <c r="N2" t="s">
        <v>29</v>
      </c>
      <c r="P2" t="s">
        <v>21</v>
      </c>
      <c r="Q2" t="s">
        <v>30</v>
      </c>
      <c r="R2" t="s">
        <v>31</v>
      </c>
      <c r="S2" t="s">
        <v>32</v>
      </c>
    </row>
    <row r="3" spans="1:19" x14ac:dyDescent="0.35">
      <c r="A3">
        <v>6</v>
      </c>
      <c r="B3" t="s">
        <v>33</v>
      </c>
      <c r="C3" t="s">
        <v>34</v>
      </c>
      <c r="D3">
        <v>1465</v>
      </c>
      <c r="E3">
        <v>7601</v>
      </c>
      <c r="F3" t="s">
        <v>35</v>
      </c>
      <c r="G3" t="s">
        <v>36</v>
      </c>
      <c r="H3" t="s">
        <v>37</v>
      </c>
      <c r="I3" t="s">
        <v>38</v>
      </c>
      <c r="J3" t="s">
        <v>39</v>
      </c>
      <c r="K3" t="s">
        <v>40</v>
      </c>
      <c r="L3" t="s">
        <v>41</v>
      </c>
      <c r="M3" t="s">
        <v>42</v>
      </c>
      <c r="N3" t="s">
        <v>43</v>
      </c>
      <c r="P3" t="s">
        <v>35</v>
      </c>
      <c r="Q3" t="s">
        <v>44</v>
      </c>
      <c r="R3" t="s">
        <v>45</v>
      </c>
      <c r="S3" t="s">
        <v>46</v>
      </c>
    </row>
    <row r="4" spans="1:19" x14ac:dyDescent="0.35">
      <c r="A4">
        <v>7</v>
      </c>
      <c r="B4" t="s">
        <v>47</v>
      </c>
      <c r="C4" t="s">
        <v>48</v>
      </c>
      <c r="D4">
        <v>852</v>
      </c>
      <c r="E4">
        <v>4685</v>
      </c>
      <c r="F4" t="s">
        <v>49</v>
      </c>
      <c r="G4" t="s">
        <v>50</v>
      </c>
      <c r="H4" t="s">
        <v>51</v>
      </c>
      <c r="I4" t="s">
        <v>52</v>
      </c>
      <c r="J4" t="s">
        <v>53</v>
      </c>
      <c r="K4" t="s">
        <v>54</v>
      </c>
      <c r="L4" t="s">
        <v>55</v>
      </c>
      <c r="M4" t="s">
        <v>56</v>
      </c>
      <c r="N4" t="s">
        <v>57</v>
      </c>
      <c r="P4" t="s">
        <v>49</v>
      </c>
      <c r="Q4" t="s">
        <v>58</v>
      </c>
      <c r="R4" t="s">
        <v>59</v>
      </c>
      <c r="S4" t="s">
        <v>60</v>
      </c>
    </row>
    <row r="5" spans="1:19" x14ac:dyDescent="0.35">
      <c r="A5">
        <v>8</v>
      </c>
      <c r="B5" t="s">
        <v>61</v>
      </c>
      <c r="C5" t="s">
        <v>62</v>
      </c>
      <c r="D5">
        <v>860</v>
      </c>
      <c r="E5">
        <v>3832</v>
      </c>
      <c r="F5" t="s">
        <v>63</v>
      </c>
      <c r="G5" t="s">
        <v>64</v>
      </c>
      <c r="H5" t="s">
        <v>65</v>
      </c>
      <c r="I5" t="s">
        <v>66</v>
      </c>
      <c r="J5" t="s">
        <v>67</v>
      </c>
      <c r="K5" t="s">
        <v>68</v>
      </c>
      <c r="L5" t="s">
        <v>69</v>
      </c>
      <c r="M5" t="s">
        <v>70</v>
      </c>
      <c r="N5" t="s">
        <v>71</v>
      </c>
      <c r="O5" t="s">
        <v>72</v>
      </c>
      <c r="P5" t="s">
        <v>63</v>
      </c>
      <c r="Q5" t="s">
        <v>73</v>
      </c>
      <c r="R5" t="s">
        <v>74</v>
      </c>
      <c r="S5" t="s">
        <v>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5"/>
  <sheetViews>
    <sheetView workbookViewId="0"/>
  </sheetViews>
  <sheetFormatPr defaultRowHeight="14.5" x14ac:dyDescent="0.35"/>
  <sheetData>
    <row r="1" spans="1:10" x14ac:dyDescent="0.35">
      <c r="A1" t="s">
        <v>0</v>
      </c>
      <c r="B1" t="s">
        <v>76</v>
      </c>
      <c r="C1" t="s">
        <v>77</v>
      </c>
      <c r="D1" t="s">
        <v>78</v>
      </c>
      <c r="E1" t="s">
        <v>79</v>
      </c>
      <c r="F1" t="s">
        <v>80</v>
      </c>
      <c r="G1" t="s">
        <v>81</v>
      </c>
      <c r="H1" t="s">
        <v>82</v>
      </c>
      <c r="I1" t="s">
        <v>83</v>
      </c>
      <c r="J1" t="s">
        <v>84</v>
      </c>
    </row>
    <row r="2" spans="1:10" x14ac:dyDescent="0.35">
      <c r="A2">
        <v>5</v>
      </c>
      <c r="B2">
        <v>18988</v>
      </c>
      <c r="C2">
        <v>3548</v>
      </c>
      <c r="D2">
        <v>2882</v>
      </c>
      <c r="E2">
        <v>666</v>
      </c>
      <c r="F2">
        <v>25462692.63016437</v>
      </c>
      <c r="G2">
        <v>3367744.2171749058</v>
      </c>
      <c r="H2">
        <v>1.1603585657370521</v>
      </c>
      <c r="I2" t="s">
        <v>85</v>
      </c>
      <c r="J2">
        <v>100.4</v>
      </c>
    </row>
    <row r="3" spans="1:10" x14ac:dyDescent="0.35">
      <c r="A3">
        <v>6</v>
      </c>
      <c r="B3">
        <v>18029</v>
      </c>
      <c r="C3">
        <v>3593</v>
      </c>
      <c r="D3">
        <v>2986</v>
      </c>
      <c r="E3">
        <v>607</v>
      </c>
      <c r="F3">
        <v>25912582.315018069</v>
      </c>
      <c r="G3">
        <v>3534530.5867480459</v>
      </c>
      <c r="H3">
        <v>1.108468125594672</v>
      </c>
      <c r="I3" t="s">
        <v>86</v>
      </c>
      <c r="J3">
        <v>105.1</v>
      </c>
    </row>
    <row r="4" spans="1:10" x14ac:dyDescent="0.35">
      <c r="A4">
        <v>7</v>
      </c>
      <c r="B4">
        <v>17534</v>
      </c>
      <c r="C4">
        <v>4139</v>
      </c>
      <c r="D4">
        <v>3444</v>
      </c>
      <c r="E4">
        <v>695</v>
      </c>
      <c r="F4">
        <v>26409659.55868005</v>
      </c>
      <c r="G4">
        <v>4102548.3552322891</v>
      </c>
      <c r="H4">
        <v>1.072744014732965</v>
      </c>
      <c r="I4" t="s">
        <v>87</v>
      </c>
      <c r="J4">
        <v>108.6</v>
      </c>
    </row>
    <row r="5" spans="1:10" x14ac:dyDescent="0.35">
      <c r="A5">
        <v>8</v>
      </c>
      <c r="B5">
        <v>15128</v>
      </c>
      <c r="C5">
        <v>3841</v>
      </c>
      <c r="D5">
        <v>3269</v>
      </c>
      <c r="E5">
        <v>572</v>
      </c>
      <c r="F5">
        <v>26988340.864160132</v>
      </c>
      <c r="G5">
        <v>4201086.9339934811</v>
      </c>
      <c r="H5">
        <v>1</v>
      </c>
      <c r="I5" t="s">
        <v>88</v>
      </c>
      <c r="J5">
        <v>116.5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7"/>
  <sheetViews>
    <sheetView workbookViewId="0">
      <selection activeCell="D9" activeCellId="2" sqref="D15 D13 D9"/>
    </sheetView>
  </sheetViews>
  <sheetFormatPr defaultRowHeight="14.5" x14ac:dyDescent="0.35"/>
  <cols>
    <col min="2" max="2" width="23" customWidth="1"/>
    <col min="3" max="3" width="29.1796875" customWidth="1"/>
  </cols>
  <sheetData>
    <row r="1" spans="1:4" x14ac:dyDescent="0.35">
      <c r="A1" t="s">
        <v>0</v>
      </c>
      <c r="B1" t="s">
        <v>89</v>
      </c>
      <c r="C1" t="s">
        <v>90</v>
      </c>
      <c r="D1" t="s">
        <v>91</v>
      </c>
    </row>
    <row r="2" spans="1:4" x14ac:dyDescent="0.35">
      <c r="A2">
        <v>5</v>
      </c>
      <c r="B2" t="s">
        <v>92</v>
      </c>
      <c r="C2" t="s">
        <v>93</v>
      </c>
      <c r="D2">
        <v>254601.31061336701</v>
      </c>
    </row>
    <row r="3" spans="1:4" x14ac:dyDescent="0.35">
      <c r="A3">
        <v>5</v>
      </c>
      <c r="B3" t="s">
        <v>92</v>
      </c>
      <c r="C3" t="s">
        <v>94</v>
      </c>
      <c r="D3">
        <v>154150</v>
      </c>
    </row>
    <row r="4" spans="1:4" x14ac:dyDescent="0.35">
      <c r="A4">
        <v>5</v>
      </c>
      <c r="B4" t="s">
        <v>95</v>
      </c>
      <c r="C4" t="s">
        <v>93</v>
      </c>
      <c r="D4">
        <v>295428.81161810021</v>
      </c>
    </row>
    <row r="5" spans="1:4" x14ac:dyDescent="0.35">
      <c r="A5">
        <v>5</v>
      </c>
      <c r="B5" t="s">
        <v>95</v>
      </c>
      <c r="C5" t="s">
        <v>94</v>
      </c>
      <c r="D5">
        <v>178869.27290836649</v>
      </c>
    </row>
    <row r="6" spans="1:4" x14ac:dyDescent="0.35">
      <c r="A6">
        <v>6</v>
      </c>
      <c r="B6" t="s">
        <v>92</v>
      </c>
      <c r="C6" t="s">
        <v>93</v>
      </c>
      <c r="D6">
        <v>286550</v>
      </c>
    </row>
    <row r="7" spans="1:4" x14ac:dyDescent="0.35">
      <c r="A7">
        <v>6</v>
      </c>
      <c r="B7" t="s">
        <v>92</v>
      </c>
      <c r="C7" t="s">
        <v>94</v>
      </c>
      <c r="D7">
        <v>170900</v>
      </c>
    </row>
    <row r="8" spans="1:4" x14ac:dyDescent="0.35">
      <c r="A8">
        <v>6</v>
      </c>
      <c r="B8" t="s">
        <v>95</v>
      </c>
      <c r="C8" t="s">
        <v>93</v>
      </c>
      <c r="D8">
        <v>317631.54138915322</v>
      </c>
    </row>
    <row r="9" spans="1:4" x14ac:dyDescent="0.35">
      <c r="A9">
        <v>6</v>
      </c>
      <c r="B9" t="s">
        <v>95</v>
      </c>
      <c r="C9" t="s">
        <v>94</v>
      </c>
      <c r="D9">
        <v>189437.20266412941</v>
      </c>
    </row>
    <row r="10" spans="1:4" x14ac:dyDescent="0.35">
      <c r="A10">
        <v>7</v>
      </c>
      <c r="B10" t="s">
        <v>92</v>
      </c>
      <c r="C10" t="s">
        <v>93</v>
      </c>
      <c r="D10">
        <v>302558.81307961303</v>
      </c>
    </row>
    <row r="11" spans="1:4" x14ac:dyDescent="0.35">
      <c r="A11">
        <v>7</v>
      </c>
      <c r="B11" t="s">
        <v>92</v>
      </c>
      <c r="C11" t="s">
        <v>94</v>
      </c>
      <c r="D11">
        <v>182598</v>
      </c>
    </row>
    <row r="12" spans="1:4" x14ac:dyDescent="0.35">
      <c r="A12">
        <v>7</v>
      </c>
      <c r="B12" t="s">
        <v>95</v>
      </c>
      <c r="C12" t="s">
        <v>93</v>
      </c>
      <c r="D12">
        <v>324568.15583586477</v>
      </c>
    </row>
    <row r="13" spans="1:4" x14ac:dyDescent="0.35">
      <c r="A13">
        <v>7</v>
      </c>
      <c r="B13" t="s">
        <v>95</v>
      </c>
      <c r="C13" t="s">
        <v>94</v>
      </c>
      <c r="D13">
        <v>195880.9116022099</v>
      </c>
    </row>
    <row r="14" spans="1:4" x14ac:dyDescent="0.35">
      <c r="A14">
        <v>8</v>
      </c>
      <c r="B14" t="s">
        <v>92</v>
      </c>
      <c r="C14" t="s">
        <v>93</v>
      </c>
      <c r="D14">
        <v>293700</v>
      </c>
    </row>
    <row r="15" spans="1:4" x14ac:dyDescent="0.35">
      <c r="A15">
        <v>8</v>
      </c>
      <c r="B15" t="s">
        <v>92</v>
      </c>
      <c r="C15" t="s">
        <v>94</v>
      </c>
      <c r="D15">
        <v>181749</v>
      </c>
    </row>
    <row r="16" spans="1:4" x14ac:dyDescent="0.35">
      <c r="A16">
        <v>8</v>
      </c>
      <c r="B16" t="s">
        <v>96</v>
      </c>
      <c r="C16" t="s">
        <v>93</v>
      </c>
      <c r="D16">
        <v>293700</v>
      </c>
    </row>
    <row r="17" spans="1:4" x14ac:dyDescent="0.35">
      <c r="A17">
        <v>8</v>
      </c>
      <c r="B17" t="s">
        <v>96</v>
      </c>
      <c r="C17" t="s">
        <v>94</v>
      </c>
      <c r="D17">
        <v>181749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97"/>
  <sheetViews>
    <sheetView topLeftCell="A28" workbookViewId="0"/>
  </sheetViews>
  <sheetFormatPr defaultRowHeight="14.5" x14ac:dyDescent="0.35"/>
  <sheetData>
    <row r="1" spans="1:6" x14ac:dyDescent="0.35">
      <c r="A1" t="s">
        <v>0</v>
      </c>
      <c r="B1" t="s">
        <v>89</v>
      </c>
      <c r="C1" t="s">
        <v>97</v>
      </c>
      <c r="D1" t="s">
        <v>90</v>
      </c>
      <c r="E1" t="s">
        <v>98</v>
      </c>
      <c r="F1" t="s">
        <v>91</v>
      </c>
    </row>
    <row r="2" spans="1:6" x14ac:dyDescent="0.35">
      <c r="A2">
        <v>5</v>
      </c>
      <c r="B2" t="s">
        <v>92</v>
      </c>
      <c r="C2" t="s">
        <v>99</v>
      </c>
      <c r="D2" t="s">
        <v>100</v>
      </c>
      <c r="E2">
        <v>961741.62018135039</v>
      </c>
      <c r="F2">
        <v>658313.42119891103</v>
      </c>
    </row>
    <row r="3" spans="1:6" x14ac:dyDescent="0.35">
      <c r="A3">
        <v>5</v>
      </c>
      <c r="B3" t="s">
        <v>92</v>
      </c>
      <c r="C3" t="s">
        <v>99</v>
      </c>
      <c r="D3" t="s">
        <v>101</v>
      </c>
      <c r="E3">
        <v>579560.141980691</v>
      </c>
      <c r="F3">
        <v>366000</v>
      </c>
    </row>
    <row r="4" spans="1:6" x14ac:dyDescent="0.35">
      <c r="A4">
        <v>5</v>
      </c>
      <c r="B4" t="s">
        <v>92</v>
      </c>
      <c r="C4" t="s">
        <v>99</v>
      </c>
      <c r="D4" t="s">
        <v>102</v>
      </c>
      <c r="E4">
        <v>340669.34419194522</v>
      </c>
      <c r="F4">
        <v>230000</v>
      </c>
    </row>
    <row r="5" spans="1:6" x14ac:dyDescent="0.35">
      <c r="A5">
        <v>5</v>
      </c>
      <c r="B5" t="s">
        <v>92</v>
      </c>
      <c r="C5" t="s">
        <v>99</v>
      </c>
      <c r="D5" t="s">
        <v>103</v>
      </c>
      <c r="E5">
        <v>171151.75429994849</v>
      </c>
      <c r="F5">
        <v>48000</v>
      </c>
    </row>
    <row r="6" spans="1:6" x14ac:dyDescent="0.35">
      <c r="A6">
        <v>5</v>
      </c>
      <c r="B6" t="s">
        <v>92</v>
      </c>
      <c r="C6" t="s">
        <v>99</v>
      </c>
      <c r="D6" t="s">
        <v>104</v>
      </c>
      <c r="E6">
        <v>382181.47820065951</v>
      </c>
      <c r="F6">
        <v>244586.810104278</v>
      </c>
    </row>
    <row r="7" spans="1:6" x14ac:dyDescent="0.35">
      <c r="A7">
        <v>5</v>
      </c>
      <c r="B7" t="s">
        <v>92</v>
      </c>
      <c r="C7" t="s">
        <v>99</v>
      </c>
      <c r="D7" t="s">
        <v>105</v>
      </c>
      <c r="E7">
        <v>69366.621427246384</v>
      </c>
      <c r="F7">
        <v>56000</v>
      </c>
    </row>
    <row r="8" spans="1:6" x14ac:dyDescent="0.35">
      <c r="A8">
        <v>5</v>
      </c>
      <c r="B8" t="s">
        <v>95</v>
      </c>
      <c r="C8" t="s">
        <v>99</v>
      </c>
      <c r="D8" t="s">
        <v>100</v>
      </c>
      <c r="E8">
        <v>1115965.12700326</v>
      </c>
      <c r="F8">
        <v>763879.61722781998</v>
      </c>
    </row>
    <row r="9" spans="1:6" x14ac:dyDescent="0.35">
      <c r="A9">
        <v>5</v>
      </c>
      <c r="B9" t="s">
        <v>95</v>
      </c>
      <c r="C9" t="s">
        <v>99</v>
      </c>
      <c r="D9" t="s">
        <v>101</v>
      </c>
      <c r="E9">
        <v>672497.57510707655</v>
      </c>
      <c r="F9">
        <v>424691.23505976092</v>
      </c>
    </row>
    <row r="10" spans="1:6" x14ac:dyDescent="0.35">
      <c r="A10">
        <v>5</v>
      </c>
      <c r="B10" t="s">
        <v>95</v>
      </c>
      <c r="C10" t="s">
        <v>99</v>
      </c>
      <c r="D10" t="s">
        <v>102</v>
      </c>
      <c r="E10">
        <v>395298.5916171475</v>
      </c>
      <c r="F10">
        <v>266882.47011952189</v>
      </c>
    </row>
    <row r="11" spans="1:6" x14ac:dyDescent="0.35">
      <c r="A11">
        <v>5</v>
      </c>
      <c r="B11" t="s">
        <v>95</v>
      </c>
      <c r="C11" t="s">
        <v>99</v>
      </c>
      <c r="D11" t="s">
        <v>103</v>
      </c>
      <c r="E11">
        <v>198597.40414286859</v>
      </c>
      <c r="F11">
        <v>55697.211155378478</v>
      </c>
    </row>
    <row r="12" spans="1:6" x14ac:dyDescent="0.35">
      <c r="A12">
        <v>5</v>
      </c>
      <c r="B12" t="s">
        <v>95</v>
      </c>
      <c r="C12" t="s">
        <v>99</v>
      </c>
      <c r="D12" t="s">
        <v>104</v>
      </c>
      <c r="E12">
        <v>443467.55189618352</v>
      </c>
      <c r="F12">
        <v>283808.40017080063</v>
      </c>
    </row>
    <row r="13" spans="1:6" x14ac:dyDescent="0.35">
      <c r="A13">
        <v>5</v>
      </c>
      <c r="B13" t="s">
        <v>95</v>
      </c>
      <c r="C13" t="s">
        <v>99</v>
      </c>
      <c r="D13" t="s">
        <v>105</v>
      </c>
      <c r="E13">
        <v>80490.153349344662</v>
      </c>
      <c r="F13">
        <v>64980.079681274903</v>
      </c>
    </row>
    <row r="14" spans="1:6" x14ac:dyDescent="0.35">
      <c r="A14">
        <v>5</v>
      </c>
      <c r="B14" t="s">
        <v>92</v>
      </c>
      <c r="C14" t="s">
        <v>106</v>
      </c>
      <c r="D14" t="s">
        <v>100</v>
      </c>
      <c r="E14">
        <v>103886.57164223729</v>
      </c>
      <c r="F14">
        <v>40786.136863702297</v>
      </c>
    </row>
    <row r="15" spans="1:6" x14ac:dyDescent="0.35">
      <c r="A15">
        <v>5</v>
      </c>
      <c r="B15" t="s">
        <v>92</v>
      </c>
      <c r="C15" t="s">
        <v>106</v>
      </c>
      <c r="D15" t="s">
        <v>101</v>
      </c>
      <c r="E15">
        <v>38139.904009620957</v>
      </c>
      <c r="F15">
        <v>20900</v>
      </c>
    </row>
    <row r="16" spans="1:6" x14ac:dyDescent="0.35">
      <c r="A16">
        <v>5</v>
      </c>
      <c r="B16" t="s">
        <v>92</v>
      </c>
      <c r="C16" t="s">
        <v>106</v>
      </c>
      <c r="D16" t="s">
        <v>102</v>
      </c>
      <c r="E16">
        <v>4664.6042187220082</v>
      </c>
      <c r="F16">
        <v>0</v>
      </c>
    </row>
    <row r="17" spans="1:6" x14ac:dyDescent="0.35">
      <c r="A17">
        <v>5</v>
      </c>
      <c r="B17" t="s">
        <v>92</v>
      </c>
      <c r="C17" t="s">
        <v>106</v>
      </c>
      <c r="D17" t="s">
        <v>103</v>
      </c>
      <c r="E17">
        <v>11327.768670365789</v>
      </c>
      <c r="F17">
        <v>1050</v>
      </c>
    </row>
    <row r="18" spans="1:6" x14ac:dyDescent="0.35">
      <c r="A18">
        <v>5</v>
      </c>
      <c r="B18" t="s">
        <v>92</v>
      </c>
      <c r="C18" t="s">
        <v>106</v>
      </c>
      <c r="D18" t="s">
        <v>104</v>
      </c>
      <c r="E18">
        <v>65746.667632616358</v>
      </c>
      <c r="F18">
        <v>500</v>
      </c>
    </row>
    <row r="19" spans="1:6" x14ac:dyDescent="0.35">
      <c r="A19">
        <v>5</v>
      </c>
      <c r="B19" t="s">
        <v>92</v>
      </c>
      <c r="C19" t="s">
        <v>106</v>
      </c>
      <c r="D19" t="s">
        <v>105</v>
      </c>
      <c r="E19">
        <v>23442.347063272518</v>
      </c>
      <c r="F19">
        <v>15700</v>
      </c>
    </row>
    <row r="20" spans="1:6" x14ac:dyDescent="0.35">
      <c r="A20">
        <v>5</v>
      </c>
      <c r="B20" t="s">
        <v>95</v>
      </c>
      <c r="C20" t="s">
        <v>106</v>
      </c>
      <c r="D20" t="s">
        <v>100</v>
      </c>
      <c r="E20">
        <v>120545.673270126</v>
      </c>
      <c r="F20">
        <v>47326.543273120689</v>
      </c>
    </row>
    <row r="21" spans="1:6" x14ac:dyDescent="0.35">
      <c r="A21">
        <v>5</v>
      </c>
      <c r="B21" t="s">
        <v>95</v>
      </c>
      <c r="C21" t="s">
        <v>106</v>
      </c>
      <c r="D21" t="s">
        <v>101</v>
      </c>
      <c r="E21">
        <v>44255.964313952623</v>
      </c>
      <c r="F21">
        <v>24251.494023904379</v>
      </c>
    </row>
    <row r="22" spans="1:6" x14ac:dyDescent="0.35">
      <c r="A22">
        <v>5</v>
      </c>
      <c r="B22" t="s">
        <v>95</v>
      </c>
      <c r="C22" t="s">
        <v>106</v>
      </c>
      <c r="D22" t="s">
        <v>102</v>
      </c>
      <c r="E22">
        <v>5412.6134609672708</v>
      </c>
      <c r="F22">
        <v>0</v>
      </c>
    </row>
    <row r="23" spans="1:6" x14ac:dyDescent="0.35">
      <c r="A23">
        <v>5</v>
      </c>
      <c r="B23" t="s">
        <v>95</v>
      </c>
      <c r="C23" t="s">
        <v>106</v>
      </c>
      <c r="D23" t="s">
        <v>103</v>
      </c>
      <c r="E23">
        <v>13144.273407346751</v>
      </c>
      <c r="F23">
        <v>1218.3764940239039</v>
      </c>
    </row>
    <row r="24" spans="1:6" x14ac:dyDescent="0.35">
      <c r="A24">
        <v>5</v>
      </c>
      <c r="B24" t="s">
        <v>95</v>
      </c>
      <c r="C24" t="s">
        <v>106</v>
      </c>
      <c r="D24" t="s">
        <v>104</v>
      </c>
      <c r="E24">
        <v>76289.708956173359</v>
      </c>
      <c r="F24">
        <v>580.17928286852577</v>
      </c>
    </row>
    <row r="25" spans="1:6" x14ac:dyDescent="0.35">
      <c r="A25">
        <v>5</v>
      </c>
      <c r="B25" t="s">
        <v>95</v>
      </c>
      <c r="C25" t="s">
        <v>106</v>
      </c>
      <c r="D25" t="s">
        <v>105</v>
      </c>
      <c r="E25">
        <v>27201.528215849092</v>
      </c>
      <c r="F25">
        <v>18217.629482071708</v>
      </c>
    </row>
    <row r="26" spans="1:6" x14ac:dyDescent="0.35">
      <c r="A26">
        <v>6</v>
      </c>
      <c r="B26" t="s">
        <v>92</v>
      </c>
      <c r="C26" t="s">
        <v>99</v>
      </c>
      <c r="D26" t="s">
        <v>100</v>
      </c>
      <c r="E26">
        <v>1025638.6304441791</v>
      </c>
      <c r="F26">
        <v>751132.30034462805</v>
      </c>
    </row>
    <row r="27" spans="1:6" x14ac:dyDescent="0.35">
      <c r="A27">
        <v>6</v>
      </c>
      <c r="B27" t="s">
        <v>92</v>
      </c>
      <c r="C27" t="s">
        <v>99</v>
      </c>
      <c r="D27" t="s">
        <v>101</v>
      </c>
      <c r="E27">
        <v>586172.93389833719</v>
      </c>
      <c r="F27">
        <v>410200</v>
      </c>
    </row>
    <row r="28" spans="1:6" x14ac:dyDescent="0.35">
      <c r="A28">
        <v>6</v>
      </c>
      <c r="B28" t="s">
        <v>92</v>
      </c>
      <c r="C28" t="s">
        <v>99</v>
      </c>
      <c r="D28" t="s">
        <v>102</v>
      </c>
      <c r="E28">
        <v>371938.66810462408</v>
      </c>
      <c r="F28">
        <v>257000</v>
      </c>
    </row>
    <row r="29" spans="1:6" x14ac:dyDescent="0.35">
      <c r="A29">
        <v>6</v>
      </c>
      <c r="B29" t="s">
        <v>92</v>
      </c>
      <c r="C29" t="s">
        <v>99</v>
      </c>
      <c r="D29" t="s">
        <v>103</v>
      </c>
      <c r="E29">
        <v>145816.172123608</v>
      </c>
      <c r="F29">
        <v>51135</v>
      </c>
    </row>
    <row r="30" spans="1:6" x14ac:dyDescent="0.35">
      <c r="A30">
        <v>6</v>
      </c>
      <c r="B30" t="s">
        <v>92</v>
      </c>
      <c r="C30" t="s">
        <v>99</v>
      </c>
      <c r="D30" t="s">
        <v>104</v>
      </c>
      <c r="E30">
        <v>439465.69654584158</v>
      </c>
      <c r="F30">
        <v>282942.79578352801</v>
      </c>
    </row>
    <row r="31" spans="1:6" x14ac:dyDescent="0.35">
      <c r="A31">
        <v>6</v>
      </c>
      <c r="B31" t="s">
        <v>92</v>
      </c>
      <c r="C31" t="s">
        <v>99</v>
      </c>
      <c r="D31" t="s">
        <v>105</v>
      </c>
      <c r="E31">
        <v>70967.045271749928</v>
      </c>
      <c r="F31">
        <v>61200</v>
      </c>
    </row>
    <row r="32" spans="1:6" x14ac:dyDescent="0.35">
      <c r="A32">
        <v>6</v>
      </c>
      <c r="B32" t="s">
        <v>95</v>
      </c>
      <c r="C32" t="s">
        <v>99</v>
      </c>
      <c r="D32" t="s">
        <v>100</v>
      </c>
      <c r="E32">
        <v>1136887.7302259449</v>
      </c>
      <c r="F32">
        <v>832606.2130366239</v>
      </c>
    </row>
    <row r="33" spans="1:6" x14ac:dyDescent="0.35">
      <c r="A33">
        <v>6</v>
      </c>
      <c r="B33" t="s">
        <v>95</v>
      </c>
      <c r="C33" t="s">
        <v>99</v>
      </c>
      <c r="D33" t="s">
        <v>101</v>
      </c>
      <c r="E33">
        <v>649754.0133126193</v>
      </c>
      <c r="F33">
        <v>454693.62511893437</v>
      </c>
    </row>
    <row r="34" spans="1:6" x14ac:dyDescent="0.35">
      <c r="A34">
        <v>6</v>
      </c>
      <c r="B34" t="s">
        <v>95</v>
      </c>
      <c r="C34" t="s">
        <v>99</v>
      </c>
      <c r="D34" t="s">
        <v>102</v>
      </c>
      <c r="E34">
        <v>412282.15827011142</v>
      </c>
      <c r="F34">
        <v>284876.30827783071</v>
      </c>
    </row>
    <row r="35" spans="1:6" x14ac:dyDescent="0.35">
      <c r="A35">
        <v>6</v>
      </c>
      <c r="B35" t="s">
        <v>95</v>
      </c>
      <c r="C35" t="s">
        <v>99</v>
      </c>
      <c r="D35" t="s">
        <v>103</v>
      </c>
      <c r="E35">
        <v>161632.5789952458</v>
      </c>
      <c r="F35">
        <v>56681.517602283537</v>
      </c>
    </row>
    <row r="36" spans="1:6" x14ac:dyDescent="0.35">
      <c r="A36">
        <v>6</v>
      </c>
      <c r="B36" t="s">
        <v>95</v>
      </c>
      <c r="C36" t="s">
        <v>99</v>
      </c>
      <c r="D36" t="s">
        <v>104</v>
      </c>
      <c r="E36">
        <v>487133.71691332589</v>
      </c>
      <c r="F36">
        <v>313633.07049268333</v>
      </c>
    </row>
    <row r="37" spans="1:6" x14ac:dyDescent="0.35">
      <c r="A37">
        <v>6</v>
      </c>
      <c r="B37" t="s">
        <v>95</v>
      </c>
      <c r="C37" t="s">
        <v>99</v>
      </c>
      <c r="D37" t="s">
        <v>105</v>
      </c>
      <c r="E37">
        <v>78664.707651368852</v>
      </c>
      <c r="F37">
        <v>67838.249286393911</v>
      </c>
    </row>
    <row r="38" spans="1:6" x14ac:dyDescent="0.35">
      <c r="A38">
        <v>6</v>
      </c>
      <c r="B38" t="s">
        <v>92</v>
      </c>
      <c r="C38" t="s">
        <v>106</v>
      </c>
      <c r="D38" t="s">
        <v>100</v>
      </c>
      <c r="E38">
        <v>127594.5550118801</v>
      </c>
      <c r="F38">
        <v>41240.977306737601</v>
      </c>
    </row>
    <row r="39" spans="1:6" x14ac:dyDescent="0.35">
      <c r="A39">
        <v>6</v>
      </c>
      <c r="B39" t="s">
        <v>92</v>
      </c>
      <c r="C39" t="s">
        <v>106</v>
      </c>
      <c r="D39" t="s">
        <v>101</v>
      </c>
      <c r="E39">
        <v>43817.472593785853</v>
      </c>
      <c r="F39">
        <v>23209</v>
      </c>
    </row>
    <row r="40" spans="1:6" x14ac:dyDescent="0.35">
      <c r="A40">
        <v>6</v>
      </c>
      <c r="B40" t="s">
        <v>92</v>
      </c>
      <c r="C40" t="s">
        <v>106</v>
      </c>
      <c r="D40" t="s">
        <v>102</v>
      </c>
      <c r="E40">
        <v>3518.7962000685079</v>
      </c>
      <c r="F40">
        <v>0</v>
      </c>
    </row>
    <row r="41" spans="1:6" x14ac:dyDescent="0.35">
      <c r="A41">
        <v>6</v>
      </c>
      <c r="B41" t="s">
        <v>92</v>
      </c>
      <c r="C41" t="s">
        <v>106</v>
      </c>
      <c r="D41" t="s">
        <v>103</v>
      </c>
      <c r="E41">
        <v>17647.372997335529</v>
      </c>
      <c r="F41">
        <v>1601</v>
      </c>
    </row>
    <row r="42" spans="1:6" x14ac:dyDescent="0.35">
      <c r="A42">
        <v>6</v>
      </c>
      <c r="B42" t="s">
        <v>92</v>
      </c>
      <c r="C42" t="s">
        <v>106</v>
      </c>
      <c r="D42" t="s">
        <v>104</v>
      </c>
      <c r="E42">
        <v>83777.082418094215</v>
      </c>
      <c r="F42">
        <v>550</v>
      </c>
    </row>
    <row r="43" spans="1:6" x14ac:dyDescent="0.35">
      <c r="A43">
        <v>6</v>
      </c>
      <c r="B43" t="s">
        <v>92</v>
      </c>
      <c r="C43" t="s">
        <v>106</v>
      </c>
      <c r="D43" t="s">
        <v>105</v>
      </c>
      <c r="E43">
        <v>23996.393124481361</v>
      </c>
      <c r="F43">
        <v>15700</v>
      </c>
    </row>
    <row r="44" spans="1:6" x14ac:dyDescent="0.35">
      <c r="A44">
        <v>6</v>
      </c>
      <c r="B44" t="s">
        <v>95</v>
      </c>
      <c r="C44" t="s">
        <v>106</v>
      </c>
      <c r="D44" t="s">
        <v>100</v>
      </c>
      <c r="E44">
        <v>141434.49723010499</v>
      </c>
      <c r="F44">
        <v>45714.308812891817</v>
      </c>
    </row>
    <row r="45" spans="1:6" x14ac:dyDescent="0.35">
      <c r="A45">
        <v>6</v>
      </c>
      <c r="B45" t="s">
        <v>95</v>
      </c>
      <c r="C45" t="s">
        <v>106</v>
      </c>
      <c r="D45" t="s">
        <v>101</v>
      </c>
      <c r="E45">
        <v>48570.271714329712</v>
      </c>
      <c r="F45">
        <v>25726.436726926739</v>
      </c>
    </row>
    <row r="46" spans="1:6" x14ac:dyDescent="0.35">
      <c r="A46">
        <v>6</v>
      </c>
      <c r="B46" t="s">
        <v>95</v>
      </c>
      <c r="C46" t="s">
        <v>106</v>
      </c>
      <c r="D46" t="s">
        <v>102</v>
      </c>
      <c r="E46">
        <v>3900.473428239593</v>
      </c>
      <c r="F46">
        <v>0</v>
      </c>
    </row>
    <row r="47" spans="1:6" x14ac:dyDescent="0.35">
      <c r="A47">
        <v>6</v>
      </c>
      <c r="B47" t="s">
        <v>95</v>
      </c>
      <c r="C47" t="s">
        <v>106</v>
      </c>
      <c r="D47" t="s">
        <v>103</v>
      </c>
      <c r="E47">
        <v>19561.55046802654</v>
      </c>
      <c r="F47">
        <v>1774.657469077069</v>
      </c>
    </row>
    <row r="48" spans="1:6" x14ac:dyDescent="0.35">
      <c r="A48">
        <v>6</v>
      </c>
      <c r="B48" t="s">
        <v>95</v>
      </c>
      <c r="C48" t="s">
        <v>106</v>
      </c>
      <c r="D48" t="s">
        <v>104</v>
      </c>
      <c r="E48">
        <v>92864.225515775237</v>
      </c>
      <c r="F48">
        <v>609.65746907706944</v>
      </c>
    </row>
    <row r="49" spans="1:6" x14ac:dyDescent="0.35">
      <c r="A49">
        <v>6</v>
      </c>
      <c r="B49" t="s">
        <v>95</v>
      </c>
      <c r="C49" t="s">
        <v>106</v>
      </c>
      <c r="D49" t="s">
        <v>105</v>
      </c>
      <c r="E49">
        <v>26599.236907726721</v>
      </c>
      <c r="F49">
        <v>17402.949571836351</v>
      </c>
    </row>
    <row r="50" spans="1:6" x14ac:dyDescent="0.35">
      <c r="A50">
        <v>7</v>
      </c>
      <c r="B50" t="s">
        <v>92</v>
      </c>
      <c r="C50" t="s">
        <v>99</v>
      </c>
      <c r="D50" t="s">
        <v>100</v>
      </c>
      <c r="E50">
        <v>1107100.5553365781</v>
      </c>
      <c r="F50">
        <v>796289.85428668396</v>
      </c>
    </row>
    <row r="51" spans="1:6" x14ac:dyDescent="0.35">
      <c r="A51">
        <v>7</v>
      </c>
      <c r="B51" t="s">
        <v>92</v>
      </c>
      <c r="C51" t="s">
        <v>99</v>
      </c>
      <c r="D51" t="s">
        <v>101</v>
      </c>
      <c r="E51">
        <v>623059.32800888643</v>
      </c>
      <c r="F51">
        <v>434024</v>
      </c>
    </row>
    <row r="52" spans="1:6" x14ac:dyDescent="0.35">
      <c r="A52">
        <v>7</v>
      </c>
      <c r="B52" t="s">
        <v>92</v>
      </c>
      <c r="C52" t="s">
        <v>99</v>
      </c>
      <c r="D52" t="s">
        <v>102</v>
      </c>
      <c r="E52">
        <v>393960.92557276873</v>
      </c>
      <c r="F52">
        <v>275000</v>
      </c>
    </row>
    <row r="53" spans="1:6" x14ac:dyDescent="0.35">
      <c r="A53">
        <v>7</v>
      </c>
      <c r="B53" t="s">
        <v>92</v>
      </c>
      <c r="C53" t="s">
        <v>99</v>
      </c>
      <c r="D53" t="s">
        <v>103</v>
      </c>
      <c r="E53">
        <v>157728.0018692523</v>
      </c>
      <c r="F53">
        <v>55000</v>
      </c>
    </row>
    <row r="54" spans="1:6" x14ac:dyDescent="0.35">
      <c r="A54">
        <v>7</v>
      </c>
      <c r="B54" t="s">
        <v>92</v>
      </c>
      <c r="C54" t="s">
        <v>99</v>
      </c>
      <c r="D54" t="s">
        <v>104</v>
      </c>
      <c r="E54">
        <v>484041.2273276918</v>
      </c>
      <c r="F54">
        <v>296000</v>
      </c>
    </row>
    <row r="55" spans="1:6" x14ac:dyDescent="0.35">
      <c r="A55">
        <v>7</v>
      </c>
      <c r="B55" t="s">
        <v>92</v>
      </c>
      <c r="C55" t="s">
        <v>99</v>
      </c>
      <c r="D55" t="s">
        <v>105</v>
      </c>
      <c r="E55">
        <v>73519.233279590233</v>
      </c>
      <c r="F55">
        <v>60000</v>
      </c>
    </row>
    <row r="56" spans="1:6" x14ac:dyDescent="0.35">
      <c r="A56">
        <v>7</v>
      </c>
      <c r="B56" t="s">
        <v>95</v>
      </c>
      <c r="C56" t="s">
        <v>99</v>
      </c>
      <c r="D56" t="s">
        <v>100</v>
      </c>
      <c r="E56">
        <v>1187635.494444856</v>
      </c>
      <c r="F56">
        <v>854215.17517862504</v>
      </c>
    </row>
    <row r="57" spans="1:6" x14ac:dyDescent="0.35">
      <c r="A57">
        <v>7</v>
      </c>
      <c r="B57" t="s">
        <v>95</v>
      </c>
      <c r="C57" t="s">
        <v>99</v>
      </c>
      <c r="D57" t="s">
        <v>101</v>
      </c>
      <c r="E57">
        <v>668383.1649450761</v>
      </c>
      <c r="F57">
        <v>465596.64825046039</v>
      </c>
    </row>
    <row r="58" spans="1:6" x14ac:dyDescent="0.35">
      <c r="A58">
        <v>7</v>
      </c>
      <c r="B58" t="s">
        <v>95</v>
      </c>
      <c r="C58" t="s">
        <v>99</v>
      </c>
      <c r="D58" t="s">
        <v>102</v>
      </c>
      <c r="E58">
        <v>422619.2249468466</v>
      </c>
      <c r="F58">
        <v>295004.60405156529</v>
      </c>
    </row>
    <row r="59" spans="1:6" x14ac:dyDescent="0.35">
      <c r="A59">
        <v>7</v>
      </c>
      <c r="B59" t="s">
        <v>95</v>
      </c>
      <c r="C59" t="s">
        <v>99</v>
      </c>
      <c r="D59" t="s">
        <v>103</v>
      </c>
      <c r="E59">
        <v>169201.76996103031</v>
      </c>
      <c r="F59">
        <v>59000.920810313073</v>
      </c>
    </row>
    <row r="60" spans="1:6" x14ac:dyDescent="0.35">
      <c r="A60">
        <v>7</v>
      </c>
      <c r="B60" t="s">
        <v>95</v>
      </c>
      <c r="C60" t="s">
        <v>99</v>
      </c>
      <c r="D60" t="s">
        <v>104</v>
      </c>
      <c r="E60">
        <v>519252.32949977979</v>
      </c>
      <c r="F60">
        <v>317532.22836095758</v>
      </c>
    </row>
    <row r="61" spans="1:6" x14ac:dyDescent="0.35">
      <c r="A61">
        <v>7</v>
      </c>
      <c r="B61" t="s">
        <v>95</v>
      </c>
      <c r="C61" t="s">
        <v>99</v>
      </c>
      <c r="D61" t="s">
        <v>105</v>
      </c>
      <c r="E61">
        <v>78867.317468437031</v>
      </c>
      <c r="F61">
        <v>64364.640883977903</v>
      </c>
    </row>
    <row r="62" spans="1:6" x14ac:dyDescent="0.35">
      <c r="A62">
        <v>7</v>
      </c>
      <c r="B62" t="s">
        <v>92</v>
      </c>
      <c r="C62" t="s">
        <v>106</v>
      </c>
      <c r="D62" t="s">
        <v>100</v>
      </c>
      <c r="E62">
        <v>129625.0867359054</v>
      </c>
      <c r="F62">
        <v>49857.0619819965</v>
      </c>
    </row>
    <row r="63" spans="1:6" x14ac:dyDescent="0.35">
      <c r="A63">
        <v>7</v>
      </c>
      <c r="B63" t="s">
        <v>92</v>
      </c>
      <c r="C63" t="s">
        <v>106</v>
      </c>
      <c r="D63" t="s">
        <v>101</v>
      </c>
      <c r="E63">
        <v>45371.765346408123</v>
      </c>
      <c r="F63">
        <v>24000</v>
      </c>
    </row>
    <row r="64" spans="1:6" x14ac:dyDescent="0.35">
      <c r="A64">
        <v>7</v>
      </c>
      <c r="B64" t="s">
        <v>92</v>
      </c>
      <c r="C64" t="s">
        <v>106</v>
      </c>
      <c r="D64" t="s">
        <v>102</v>
      </c>
      <c r="E64">
        <v>6954.204359700082</v>
      </c>
      <c r="F64">
        <v>0</v>
      </c>
    </row>
    <row r="65" spans="1:6" x14ac:dyDescent="0.35">
      <c r="A65">
        <v>7</v>
      </c>
      <c r="B65" t="s">
        <v>92</v>
      </c>
      <c r="C65" t="s">
        <v>106</v>
      </c>
      <c r="D65" t="s">
        <v>103</v>
      </c>
      <c r="E65">
        <v>14585.70424913683</v>
      </c>
      <c r="F65">
        <v>2000</v>
      </c>
    </row>
    <row r="66" spans="1:6" x14ac:dyDescent="0.35">
      <c r="A66">
        <v>7</v>
      </c>
      <c r="B66" t="s">
        <v>92</v>
      </c>
      <c r="C66" t="s">
        <v>106</v>
      </c>
      <c r="D66" t="s">
        <v>104</v>
      </c>
      <c r="E66">
        <v>84253.321389497301</v>
      </c>
      <c r="F66">
        <v>11812.252854443301</v>
      </c>
    </row>
    <row r="67" spans="1:6" x14ac:dyDescent="0.35">
      <c r="A67">
        <v>7</v>
      </c>
      <c r="B67" t="s">
        <v>92</v>
      </c>
      <c r="C67" t="s">
        <v>106</v>
      </c>
      <c r="D67" t="s">
        <v>105</v>
      </c>
      <c r="E67">
        <v>25190.822659837191</v>
      </c>
      <c r="F67">
        <v>15500</v>
      </c>
    </row>
    <row r="68" spans="1:6" x14ac:dyDescent="0.35">
      <c r="A68">
        <v>7</v>
      </c>
      <c r="B68" t="s">
        <v>95</v>
      </c>
      <c r="C68" t="s">
        <v>106</v>
      </c>
      <c r="D68" t="s">
        <v>100</v>
      </c>
      <c r="E68">
        <v>139054.53595518399</v>
      </c>
      <c r="F68">
        <v>53483.864833357198</v>
      </c>
    </row>
    <row r="69" spans="1:6" x14ac:dyDescent="0.35">
      <c r="A69">
        <v>7</v>
      </c>
      <c r="B69" t="s">
        <v>95</v>
      </c>
      <c r="C69" t="s">
        <v>106</v>
      </c>
      <c r="D69" t="s">
        <v>101</v>
      </c>
      <c r="E69">
        <v>48672.289713227859</v>
      </c>
      <c r="F69">
        <v>25745.85635359116</v>
      </c>
    </row>
    <row r="70" spans="1:6" x14ac:dyDescent="0.35">
      <c r="A70">
        <v>7</v>
      </c>
      <c r="B70" t="s">
        <v>95</v>
      </c>
      <c r="C70" t="s">
        <v>106</v>
      </c>
      <c r="D70" t="s">
        <v>102</v>
      </c>
      <c r="E70">
        <v>7460.0811040981534</v>
      </c>
      <c r="F70">
        <v>0</v>
      </c>
    </row>
    <row r="71" spans="1:6" x14ac:dyDescent="0.35">
      <c r="A71">
        <v>7</v>
      </c>
      <c r="B71" t="s">
        <v>95</v>
      </c>
      <c r="C71" t="s">
        <v>106</v>
      </c>
      <c r="D71" t="s">
        <v>103</v>
      </c>
      <c r="E71">
        <v>15646.72693392671</v>
      </c>
      <c r="F71">
        <v>2145.4880294659301</v>
      </c>
    </row>
    <row r="72" spans="1:6" x14ac:dyDescent="0.35">
      <c r="A72">
        <v>7</v>
      </c>
      <c r="B72" t="s">
        <v>95</v>
      </c>
      <c r="C72" t="s">
        <v>106</v>
      </c>
      <c r="D72" t="s">
        <v>104</v>
      </c>
      <c r="E72">
        <v>90382.246241956134</v>
      </c>
      <c r="F72">
        <v>12671.52355011643</v>
      </c>
    </row>
    <row r="73" spans="1:6" x14ac:dyDescent="0.35">
      <c r="A73">
        <v>7</v>
      </c>
      <c r="B73" t="s">
        <v>95</v>
      </c>
      <c r="C73" t="s">
        <v>106</v>
      </c>
      <c r="D73" t="s">
        <v>105</v>
      </c>
      <c r="E73">
        <v>27023.304234539901</v>
      </c>
      <c r="F73">
        <v>16627.53222836096</v>
      </c>
    </row>
    <row r="74" spans="1:6" x14ac:dyDescent="0.35">
      <c r="A74">
        <v>8</v>
      </c>
      <c r="B74" t="s">
        <v>92</v>
      </c>
      <c r="C74" t="s">
        <v>99</v>
      </c>
      <c r="D74" t="s">
        <v>100</v>
      </c>
      <c r="E74">
        <v>947283.18050614314</v>
      </c>
      <c r="F74">
        <v>712466.24</v>
      </c>
    </row>
    <row r="75" spans="1:6" x14ac:dyDescent="0.35">
      <c r="A75">
        <v>8</v>
      </c>
      <c r="B75" t="s">
        <v>92</v>
      </c>
      <c r="C75" t="s">
        <v>99</v>
      </c>
      <c r="D75" t="s">
        <v>101</v>
      </c>
      <c r="E75">
        <v>630712.09136271826</v>
      </c>
      <c r="F75">
        <v>456300</v>
      </c>
    </row>
    <row r="76" spans="1:6" x14ac:dyDescent="0.35">
      <c r="A76">
        <v>8</v>
      </c>
      <c r="B76" t="s">
        <v>92</v>
      </c>
      <c r="C76" t="s">
        <v>99</v>
      </c>
      <c r="D76" t="s">
        <v>102</v>
      </c>
      <c r="E76">
        <v>400442.55285973079</v>
      </c>
      <c r="F76">
        <v>300000</v>
      </c>
    </row>
    <row r="77" spans="1:6" x14ac:dyDescent="0.35">
      <c r="A77">
        <v>8</v>
      </c>
      <c r="B77" t="s">
        <v>92</v>
      </c>
      <c r="C77" t="s">
        <v>99</v>
      </c>
      <c r="D77" t="s">
        <v>103</v>
      </c>
      <c r="E77">
        <v>157524.2171085997</v>
      </c>
      <c r="F77">
        <v>62530</v>
      </c>
    </row>
    <row r="78" spans="1:6" x14ac:dyDescent="0.35">
      <c r="A78">
        <v>8</v>
      </c>
      <c r="B78" t="s">
        <v>92</v>
      </c>
      <c r="C78" t="s">
        <v>99</v>
      </c>
      <c r="D78" t="s">
        <v>104</v>
      </c>
      <c r="E78">
        <v>316571.08914342482</v>
      </c>
      <c r="F78">
        <v>209401.92</v>
      </c>
    </row>
    <row r="79" spans="1:6" x14ac:dyDescent="0.35">
      <c r="A79">
        <v>8</v>
      </c>
      <c r="B79" t="s">
        <v>92</v>
      </c>
      <c r="C79" t="s">
        <v>99</v>
      </c>
      <c r="D79" t="s">
        <v>105</v>
      </c>
      <c r="E79">
        <v>74819.509532634256</v>
      </c>
      <c r="F79">
        <v>60500</v>
      </c>
    </row>
    <row r="80" spans="1:6" x14ac:dyDescent="0.35">
      <c r="A80">
        <v>8</v>
      </c>
      <c r="B80" t="s">
        <v>96</v>
      </c>
      <c r="C80" t="s">
        <v>99</v>
      </c>
      <c r="D80" t="s">
        <v>100</v>
      </c>
      <c r="E80">
        <v>947283.18050614314</v>
      </c>
      <c r="F80">
        <v>712466.24</v>
      </c>
    </row>
    <row r="81" spans="1:6" x14ac:dyDescent="0.35">
      <c r="A81">
        <v>8</v>
      </c>
      <c r="B81" t="s">
        <v>96</v>
      </c>
      <c r="C81" t="s">
        <v>99</v>
      </c>
      <c r="D81" t="s">
        <v>101</v>
      </c>
      <c r="E81">
        <v>630712.09136271826</v>
      </c>
      <c r="F81">
        <v>456300</v>
      </c>
    </row>
    <row r="82" spans="1:6" x14ac:dyDescent="0.35">
      <c r="A82">
        <v>8</v>
      </c>
      <c r="B82" t="s">
        <v>96</v>
      </c>
      <c r="C82" t="s">
        <v>99</v>
      </c>
      <c r="D82" t="s">
        <v>102</v>
      </c>
      <c r="E82">
        <v>400442.55285973079</v>
      </c>
      <c r="F82">
        <v>300000</v>
      </c>
    </row>
    <row r="83" spans="1:6" x14ac:dyDescent="0.35">
      <c r="A83">
        <v>8</v>
      </c>
      <c r="B83" t="s">
        <v>96</v>
      </c>
      <c r="C83" t="s">
        <v>99</v>
      </c>
      <c r="D83" t="s">
        <v>103</v>
      </c>
      <c r="E83">
        <v>157524.2171085997</v>
      </c>
      <c r="F83">
        <v>62530</v>
      </c>
    </row>
    <row r="84" spans="1:6" x14ac:dyDescent="0.35">
      <c r="A84">
        <v>8</v>
      </c>
      <c r="B84" t="s">
        <v>96</v>
      </c>
      <c r="C84" t="s">
        <v>99</v>
      </c>
      <c r="D84" t="s">
        <v>104</v>
      </c>
      <c r="E84">
        <v>316571.08914342482</v>
      </c>
      <c r="F84">
        <v>209401.92</v>
      </c>
    </row>
    <row r="85" spans="1:6" x14ac:dyDescent="0.35">
      <c r="A85">
        <v>8</v>
      </c>
      <c r="B85" t="s">
        <v>96</v>
      </c>
      <c r="C85" t="s">
        <v>99</v>
      </c>
      <c r="D85" t="s">
        <v>105</v>
      </c>
      <c r="E85">
        <v>74819.509532634256</v>
      </c>
      <c r="F85">
        <v>60500</v>
      </c>
    </row>
    <row r="86" spans="1:6" x14ac:dyDescent="0.35">
      <c r="A86">
        <v>8</v>
      </c>
      <c r="B86" t="s">
        <v>92</v>
      </c>
      <c r="C86" t="s">
        <v>106</v>
      </c>
      <c r="D86" t="s">
        <v>100</v>
      </c>
      <c r="E86">
        <v>154698.5627427361</v>
      </c>
      <c r="F86">
        <v>56030</v>
      </c>
    </row>
    <row r="87" spans="1:6" x14ac:dyDescent="0.35">
      <c r="A87">
        <v>8</v>
      </c>
      <c r="B87" t="s">
        <v>92</v>
      </c>
      <c r="C87" t="s">
        <v>106</v>
      </c>
      <c r="D87" t="s">
        <v>101</v>
      </c>
      <c r="E87">
        <v>69331.261046134299</v>
      </c>
      <c r="F87">
        <v>25959</v>
      </c>
    </row>
    <row r="88" spans="1:6" x14ac:dyDescent="0.35">
      <c r="A88">
        <v>8</v>
      </c>
      <c r="B88" t="s">
        <v>92</v>
      </c>
      <c r="C88" t="s">
        <v>106</v>
      </c>
      <c r="D88" t="s">
        <v>102</v>
      </c>
      <c r="E88">
        <v>19763.312840218019</v>
      </c>
      <c r="F88">
        <v>0</v>
      </c>
    </row>
    <row r="89" spans="1:6" x14ac:dyDescent="0.35">
      <c r="A89">
        <v>8</v>
      </c>
      <c r="B89" t="s">
        <v>92</v>
      </c>
      <c r="C89" t="s">
        <v>106</v>
      </c>
      <c r="D89" t="s">
        <v>103</v>
      </c>
      <c r="E89">
        <v>22815.957563600721</v>
      </c>
      <c r="F89">
        <v>2700</v>
      </c>
    </row>
    <row r="90" spans="1:6" x14ac:dyDescent="0.35">
      <c r="A90">
        <v>8</v>
      </c>
      <c r="B90" t="s">
        <v>92</v>
      </c>
      <c r="C90" t="s">
        <v>106</v>
      </c>
      <c r="D90" t="s">
        <v>104</v>
      </c>
      <c r="E90">
        <v>85367.301696601848</v>
      </c>
      <c r="F90">
        <v>15373.44</v>
      </c>
    </row>
    <row r="91" spans="1:6" x14ac:dyDescent="0.35">
      <c r="A91">
        <v>8</v>
      </c>
      <c r="B91" t="s">
        <v>92</v>
      </c>
      <c r="C91" t="s">
        <v>106</v>
      </c>
      <c r="D91" t="s">
        <v>105</v>
      </c>
      <c r="E91">
        <v>28253.452932105702</v>
      </c>
      <c r="F91">
        <v>17500</v>
      </c>
    </row>
    <row r="92" spans="1:6" x14ac:dyDescent="0.35">
      <c r="A92">
        <v>8</v>
      </c>
      <c r="B92" t="s">
        <v>96</v>
      </c>
      <c r="C92" t="s">
        <v>106</v>
      </c>
      <c r="D92" t="s">
        <v>100</v>
      </c>
      <c r="E92">
        <v>154698.5627427361</v>
      </c>
      <c r="F92">
        <v>56030</v>
      </c>
    </row>
    <row r="93" spans="1:6" x14ac:dyDescent="0.35">
      <c r="A93">
        <v>8</v>
      </c>
      <c r="B93" t="s">
        <v>96</v>
      </c>
      <c r="C93" t="s">
        <v>106</v>
      </c>
      <c r="D93" t="s">
        <v>101</v>
      </c>
      <c r="E93">
        <v>69331.261046134299</v>
      </c>
      <c r="F93">
        <v>25959</v>
      </c>
    </row>
    <row r="94" spans="1:6" x14ac:dyDescent="0.35">
      <c r="A94">
        <v>8</v>
      </c>
      <c r="B94" t="s">
        <v>96</v>
      </c>
      <c r="C94" t="s">
        <v>106</v>
      </c>
      <c r="D94" t="s">
        <v>102</v>
      </c>
      <c r="E94">
        <v>19763.312840218019</v>
      </c>
      <c r="F94">
        <v>0</v>
      </c>
    </row>
    <row r="95" spans="1:6" x14ac:dyDescent="0.35">
      <c r="A95">
        <v>8</v>
      </c>
      <c r="B95" t="s">
        <v>96</v>
      </c>
      <c r="C95" t="s">
        <v>106</v>
      </c>
      <c r="D95" t="s">
        <v>103</v>
      </c>
      <c r="E95">
        <v>22815.957563600721</v>
      </c>
      <c r="F95">
        <v>2700</v>
      </c>
    </row>
    <row r="96" spans="1:6" x14ac:dyDescent="0.35">
      <c r="A96">
        <v>8</v>
      </c>
      <c r="B96" t="s">
        <v>96</v>
      </c>
      <c r="C96" t="s">
        <v>106</v>
      </c>
      <c r="D96" t="s">
        <v>104</v>
      </c>
      <c r="E96">
        <v>85367.301696601848</v>
      </c>
      <c r="F96">
        <v>15373.44</v>
      </c>
    </row>
    <row r="97" spans="1:6" x14ac:dyDescent="0.35">
      <c r="A97">
        <v>8</v>
      </c>
      <c r="B97" t="s">
        <v>96</v>
      </c>
      <c r="C97" t="s">
        <v>106</v>
      </c>
      <c r="D97" t="s">
        <v>105</v>
      </c>
      <c r="E97">
        <v>28253.452932105702</v>
      </c>
      <c r="F97">
        <v>17500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51"/>
  <sheetViews>
    <sheetView tabSelected="1" topLeftCell="A19" workbookViewId="0">
      <selection activeCell="C51" sqref="C51"/>
    </sheetView>
  </sheetViews>
  <sheetFormatPr defaultRowHeight="14.5" x14ac:dyDescent="0.35"/>
  <cols>
    <col min="3" max="3" width="40.08984375" customWidth="1"/>
    <col min="4" max="11" width="14.90625" customWidth="1"/>
  </cols>
  <sheetData>
    <row r="1" spans="1:11" x14ac:dyDescent="0.35">
      <c r="A1" t="s">
        <v>0</v>
      </c>
      <c r="B1" t="s">
        <v>89</v>
      </c>
      <c r="C1" t="s">
        <v>90</v>
      </c>
      <c r="D1" t="s">
        <v>107</v>
      </c>
      <c r="E1" t="s">
        <v>108</v>
      </c>
      <c r="F1" t="s">
        <v>109</v>
      </c>
      <c r="G1" t="s">
        <v>110</v>
      </c>
      <c r="H1" t="s">
        <v>111</v>
      </c>
      <c r="I1" t="s">
        <v>112</v>
      </c>
      <c r="J1" t="s">
        <v>113</v>
      </c>
      <c r="K1" t="s">
        <v>114</v>
      </c>
    </row>
    <row r="2" spans="1:11" x14ac:dyDescent="0.35">
      <c r="A2">
        <v>5</v>
      </c>
      <c r="B2" t="s">
        <v>92</v>
      </c>
      <c r="C2" t="s">
        <v>100</v>
      </c>
      <c r="D2" s="1">
        <v>961741.62018135039</v>
      </c>
      <c r="E2" s="1">
        <v>103886.57164223729</v>
      </c>
      <c r="F2" s="1">
        <v>857855.04853911302</v>
      </c>
      <c r="G2" s="1">
        <v>9.2576124611502113</v>
      </c>
      <c r="H2" s="1">
        <v>658313.42119891103</v>
      </c>
      <c r="I2" s="1">
        <v>40786.136863702297</v>
      </c>
      <c r="J2" s="1">
        <v>617527.28433520871</v>
      </c>
      <c r="K2" s="1">
        <v>16.140617175851691</v>
      </c>
    </row>
    <row r="3" spans="1:11" x14ac:dyDescent="0.35">
      <c r="A3">
        <v>5</v>
      </c>
      <c r="B3" t="s">
        <v>92</v>
      </c>
      <c r="C3" t="s">
        <v>101</v>
      </c>
      <c r="D3" s="1">
        <v>579560.141980691</v>
      </c>
      <c r="E3" s="1">
        <v>38139.904009620957</v>
      </c>
      <c r="F3" s="1">
        <v>541420.23797106999</v>
      </c>
      <c r="G3" s="1">
        <v>15.195637142518621</v>
      </c>
      <c r="H3" s="1">
        <v>366000</v>
      </c>
      <c r="I3" s="1">
        <v>20900</v>
      </c>
      <c r="J3" s="1">
        <v>345100</v>
      </c>
      <c r="K3" s="1">
        <v>17.511961722488039</v>
      </c>
    </row>
    <row r="4" spans="1:11" x14ac:dyDescent="0.35">
      <c r="A4">
        <v>5</v>
      </c>
      <c r="B4" t="s">
        <v>92</v>
      </c>
      <c r="C4" t="s">
        <v>102</v>
      </c>
      <c r="D4" s="1">
        <v>340669.34419194522</v>
      </c>
      <c r="E4" s="1">
        <v>4664.6042187220082</v>
      </c>
      <c r="F4" s="1">
        <v>336004.73997322313</v>
      </c>
      <c r="G4" s="1">
        <v>73.032850852516816</v>
      </c>
      <c r="H4" s="1">
        <v>230000</v>
      </c>
      <c r="I4" s="1">
        <v>0</v>
      </c>
      <c r="J4" s="1">
        <v>230000</v>
      </c>
      <c r="K4" s="1"/>
    </row>
    <row r="5" spans="1:11" x14ac:dyDescent="0.35">
      <c r="A5">
        <v>5</v>
      </c>
      <c r="B5" t="s">
        <v>92</v>
      </c>
      <c r="C5" t="s">
        <v>103</v>
      </c>
      <c r="D5" s="1">
        <v>171151.75429994849</v>
      </c>
      <c r="E5" s="1">
        <v>11327.768670365789</v>
      </c>
      <c r="F5" s="1">
        <v>159823.98562958269</v>
      </c>
      <c r="G5" s="1">
        <v>15.10904391503802</v>
      </c>
      <c r="H5" s="1">
        <v>48000</v>
      </c>
      <c r="I5" s="1">
        <v>1050</v>
      </c>
      <c r="J5" s="1">
        <v>46950</v>
      </c>
      <c r="K5" s="1">
        <v>45.714285714285722</v>
      </c>
    </row>
    <row r="6" spans="1:11" x14ac:dyDescent="0.35">
      <c r="A6">
        <v>5</v>
      </c>
      <c r="B6" t="s">
        <v>92</v>
      </c>
      <c r="C6" t="s">
        <v>104</v>
      </c>
      <c r="D6" s="1">
        <v>382181.47820065951</v>
      </c>
      <c r="E6" s="1">
        <v>65746.667632616358</v>
      </c>
      <c r="F6" s="1">
        <v>316434.81056804309</v>
      </c>
      <c r="G6" s="1">
        <v>5.8129406700311996</v>
      </c>
      <c r="H6" s="1">
        <v>244586.810104278</v>
      </c>
      <c r="I6" s="1">
        <v>500</v>
      </c>
      <c r="J6" s="1">
        <v>244086.810104278</v>
      </c>
      <c r="K6" s="1">
        <v>489.17362020855597</v>
      </c>
    </row>
    <row r="7" spans="1:11" x14ac:dyDescent="0.35">
      <c r="A7">
        <v>5</v>
      </c>
      <c r="B7" t="s">
        <v>92</v>
      </c>
      <c r="C7" t="s">
        <v>105</v>
      </c>
      <c r="D7" s="1">
        <v>69366.621427246384</v>
      </c>
      <c r="E7" s="1">
        <v>23442.347063272518</v>
      </c>
      <c r="F7" s="1">
        <v>45924.274363973862</v>
      </c>
      <c r="G7" s="1">
        <v>2.9590305629389859</v>
      </c>
      <c r="H7" s="1">
        <v>56000</v>
      </c>
      <c r="I7" s="1">
        <v>15700</v>
      </c>
      <c r="J7" s="1">
        <v>40300</v>
      </c>
      <c r="K7" s="1">
        <v>3.5668789808917198</v>
      </c>
    </row>
    <row r="8" spans="1:11" x14ac:dyDescent="0.35">
      <c r="A8">
        <v>5</v>
      </c>
      <c r="B8" t="s">
        <v>95</v>
      </c>
      <c r="C8" t="s">
        <v>100</v>
      </c>
      <c r="D8" s="1">
        <v>1115965.12700326</v>
      </c>
      <c r="E8" s="1">
        <v>120545.673270126</v>
      </c>
      <c r="F8" s="1">
        <v>995419.4537331342</v>
      </c>
      <c r="G8" s="1">
        <v>9.2576124611502113</v>
      </c>
      <c r="H8" s="1">
        <v>763879.61722781998</v>
      </c>
      <c r="I8" s="1">
        <v>47326.543273120689</v>
      </c>
      <c r="J8" s="1">
        <v>716553.07395469933</v>
      </c>
      <c r="K8" s="1">
        <v>16.140617175851691</v>
      </c>
    </row>
    <row r="9" spans="1:11" x14ac:dyDescent="0.35">
      <c r="A9">
        <v>5</v>
      </c>
      <c r="B9" t="s">
        <v>95</v>
      </c>
      <c r="C9" t="s">
        <v>101</v>
      </c>
      <c r="D9" s="1">
        <v>672497.57510707655</v>
      </c>
      <c r="E9" s="1">
        <v>44255.964313952623</v>
      </c>
      <c r="F9" s="1">
        <v>628241.61079312395</v>
      </c>
      <c r="G9" s="1">
        <v>15.19563714251861</v>
      </c>
      <c r="H9" s="1">
        <v>424691.23505976092</v>
      </c>
      <c r="I9" s="1">
        <v>24251.494023904379</v>
      </c>
      <c r="J9" s="1">
        <v>400439.74103585648</v>
      </c>
      <c r="K9" s="1">
        <v>17.511961722488039</v>
      </c>
    </row>
    <row r="10" spans="1:11" x14ac:dyDescent="0.35">
      <c r="A10">
        <v>5</v>
      </c>
      <c r="B10" t="s">
        <v>95</v>
      </c>
      <c r="C10" t="s">
        <v>102</v>
      </c>
      <c r="D10" s="1">
        <v>395298.5916171475</v>
      </c>
      <c r="E10" s="1">
        <v>5412.6134609672708</v>
      </c>
      <c r="F10" s="1">
        <v>389885.97815618018</v>
      </c>
      <c r="G10" s="1">
        <v>73.032850852516802</v>
      </c>
      <c r="H10" s="1">
        <v>266882.47011952189</v>
      </c>
      <c r="I10" s="1">
        <v>0</v>
      </c>
      <c r="J10" s="1">
        <v>266882.47011952189</v>
      </c>
      <c r="K10" s="1"/>
    </row>
    <row r="11" spans="1:11" x14ac:dyDescent="0.35">
      <c r="A11">
        <v>5</v>
      </c>
      <c r="B11" t="s">
        <v>95</v>
      </c>
      <c r="C11" t="s">
        <v>103</v>
      </c>
      <c r="D11" s="1">
        <v>198597.40414286859</v>
      </c>
      <c r="E11" s="1">
        <v>13144.273407346751</v>
      </c>
      <c r="F11" s="1">
        <v>185453.13073552179</v>
      </c>
      <c r="G11" s="1">
        <v>15.10904391503802</v>
      </c>
      <c r="H11" s="1">
        <v>55697.211155378478</v>
      </c>
      <c r="I11" s="1">
        <v>1218.3764940239039</v>
      </c>
      <c r="J11" s="1">
        <v>54478.834661354573</v>
      </c>
      <c r="K11" s="1">
        <v>45.714285714285708</v>
      </c>
    </row>
    <row r="12" spans="1:11" x14ac:dyDescent="0.35">
      <c r="A12">
        <v>5</v>
      </c>
      <c r="B12" t="s">
        <v>95</v>
      </c>
      <c r="C12" t="s">
        <v>104</v>
      </c>
      <c r="D12" s="1">
        <v>443467.55189618352</v>
      </c>
      <c r="E12" s="1">
        <v>76289.708956173359</v>
      </c>
      <c r="F12" s="1">
        <v>367177.84294001007</v>
      </c>
      <c r="G12" s="1">
        <v>5.8129406700311979</v>
      </c>
      <c r="H12" s="1">
        <v>283808.40017080063</v>
      </c>
      <c r="I12" s="1">
        <v>580.17928286852577</v>
      </c>
      <c r="J12" s="1">
        <v>283228.22088793211</v>
      </c>
      <c r="K12" s="1">
        <v>489.17362020855597</v>
      </c>
    </row>
    <row r="13" spans="1:11" x14ac:dyDescent="0.35">
      <c r="A13">
        <v>5</v>
      </c>
      <c r="B13" t="s">
        <v>95</v>
      </c>
      <c r="C13" t="s">
        <v>105</v>
      </c>
      <c r="D13" s="1">
        <v>80490.153349344662</v>
      </c>
      <c r="E13" s="1">
        <v>27201.528215849092</v>
      </c>
      <c r="F13" s="1">
        <v>53288.625133495567</v>
      </c>
      <c r="G13" s="1">
        <v>2.9590305629389859</v>
      </c>
      <c r="H13" s="1">
        <v>64980.079681274903</v>
      </c>
      <c r="I13" s="1">
        <v>18217.629482071708</v>
      </c>
      <c r="J13" s="1">
        <v>46762.450199203187</v>
      </c>
      <c r="K13" s="1">
        <v>3.5668789808917198</v>
      </c>
    </row>
    <row r="14" spans="1:11" x14ac:dyDescent="0.35">
      <c r="A14">
        <v>6</v>
      </c>
      <c r="B14" t="s">
        <v>92</v>
      </c>
      <c r="C14" t="s">
        <v>100</v>
      </c>
      <c r="D14" s="1">
        <v>1025638.6304441791</v>
      </c>
      <c r="E14" s="1">
        <v>127594.5550118801</v>
      </c>
      <c r="F14" s="1">
        <v>898044.07543229894</v>
      </c>
      <c r="G14" s="1">
        <v>8.0382633126365306</v>
      </c>
      <c r="H14" s="1">
        <v>751132.30034462805</v>
      </c>
      <c r="I14" s="1">
        <v>41240.977306737601</v>
      </c>
      <c r="J14" s="1">
        <v>709891.32303789048</v>
      </c>
      <c r="K14" s="1">
        <v>18.213251707347741</v>
      </c>
    </row>
    <row r="15" spans="1:11" x14ac:dyDescent="0.35">
      <c r="A15">
        <v>6</v>
      </c>
      <c r="B15" t="s">
        <v>92</v>
      </c>
      <c r="C15" t="s">
        <v>101</v>
      </c>
      <c r="D15" s="1">
        <v>586172.93389833719</v>
      </c>
      <c r="E15" s="1">
        <v>43817.472593785853</v>
      </c>
      <c r="F15" s="1">
        <v>542355.46130455134</v>
      </c>
      <c r="G15" s="1">
        <v>13.37760713249051</v>
      </c>
      <c r="H15" s="1">
        <v>410200</v>
      </c>
      <c r="I15" s="1">
        <v>23209</v>
      </c>
      <c r="J15" s="1">
        <v>386991</v>
      </c>
      <c r="K15" s="1">
        <v>17.674178120556679</v>
      </c>
    </row>
    <row r="16" spans="1:11" x14ac:dyDescent="0.35">
      <c r="A16">
        <v>6</v>
      </c>
      <c r="B16" t="s">
        <v>92</v>
      </c>
      <c r="C16" t="s">
        <v>102</v>
      </c>
      <c r="D16" s="1">
        <v>371938.66810462408</v>
      </c>
      <c r="E16" s="1">
        <v>3518.7962000685079</v>
      </c>
      <c r="F16" s="1">
        <v>368419.87190455559</v>
      </c>
      <c r="G16" s="1">
        <v>105.7005427303186</v>
      </c>
      <c r="H16" s="1">
        <v>257000</v>
      </c>
      <c r="I16" s="1">
        <v>0</v>
      </c>
      <c r="J16" s="1">
        <v>257000</v>
      </c>
      <c r="K16" s="1"/>
    </row>
    <row r="17" spans="1:11" x14ac:dyDescent="0.35">
      <c r="A17">
        <v>6</v>
      </c>
      <c r="B17" t="s">
        <v>92</v>
      </c>
      <c r="C17" t="s">
        <v>103</v>
      </c>
      <c r="D17" s="1">
        <v>145816.172123608</v>
      </c>
      <c r="E17" s="1">
        <v>17647.372997335529</v>
      </c>
      <c r="F17" s="1">
        <v>128168.7991262724</v>
      </c>
      <c r="G17" s="1">
        <v>8.2627693167489493</v>
      </c>
      <c r="H17" s="1">
        <v>51135</v>
      </c>
      <c r="I17" s="1">
        <v>1601</v>
      </c>
      <c r="J17" s="1">
        <v>49534</v>
      </c>
      <c r="K17" s="1">
        <v>31.939412866958151</v>
      </c>
    </row>
    <row r="18" spans="1:11" x14ac:dyDescent="0.35">
      <c r="A18">
        <v>6</v>
      </c>
      <c r="B18" t="s">
        <v>92</v>
      </c>
      <c r="C18" t="s">
        <v>104</v>
      </c>
      <c r="D18" s="1">
        <v>439465.69654584158</v>
      </c>
      <c r="E18" s="1">
        <v>83777.082418094215</v>
      </c>
      <c r="F18" s="1">
        <v>355688.61412774742</v>
      </c>
      <c r="G18" s="1">
        <v>5.245655301680995</v>
      </c>
      <c r="H18" s="1">
        <v>282942.79578352801</v>
      </c>
      <c r="I18" s="1">
        <v>550</v>
      </c>
      <c r="J18" s="1">
        <v>282392.79578352801</v>
      </c>
      <c r="K18" s="1">
        <v>514.44144687914184</v>
      </c>
    </row>
    <row r="19" spans="1:11" x14ac:dyDescent="0.35">
      <c r="A19">
        <v>6</v>
      </c>
      <c r="B19" t="s">
        <v>92</v>
      </c>
      <c r="C19" t="s">
        <v>105</v>
      </c>
      <c r="D19" s="1">
        <v>70967.045271749928</v>
      </c>
      <c r="E19" s="1">
        <v>23996.393124481361</v>
      </c>
      <c r="F19" s="1">
        <v>46970.652147268571</v>
      </c>
      <c r="G19" s="1">
        <v>2.9574046775950111</v>
      </c>
      <c r="H19" s="1">
        <v>61200</v>
      </c>
      <c r="I19" s="1">
        <v>15700</v>
      </c>
      <c r="J19" s="1">
        <v>45500</v>
      </c>
      <c r="K19" s="1">
        <v>3.8980891719745219</v>
      </c>
    </row>
    <row r="20" spans="1:11" x14ac:dyDescent="0.35">
      <c r="A20">
        <v>6</v>
      </c>
      <c r="B20" t="s">
        <v>95</v>
      </c>
      <c r="C20" t="s">
        <v>100</v>
      </c>
      <c r="D20" s="1">
        <v>1136887.7302259449</v>
      </c>
      <c r="E20" s="1">
        <v>141434.49723010499</v>
      </c>
      <c r="F20" s="1">
        <v>995453.23299584014</v>
      </c>
      <c r="G20" s="1">
        <v>8.038263312636527</v>
      </c>
      <c r="H20" s="1">
        <v>832606.2130366239</v>
      </c>
      <c r="I20" s="1">
        <v>45714.308812891817</v>
      </c>
      <c r="J20" s="1">
        <v>786891.90422373207</v>
      </c>
      <c r="K20" s="1">
        <v>18.213251707347741</v>
      </c>
    </row>
    <row r="21" spans="1:11" x14ac:dyDescent="0.35">
      <c r="A21">
        <v>6</v>
      </c>
      <c r="B21" t="s">
        <v>95</v>
      </c>
      <c r="C21" t="s">
        <v>101</v>
      </c>
      <c r="D21" s="1">
        <v>649754.0133126193</v>
      </c>
      <c r="E21" s="1">
        <v>48570.271714329712</v>
      </c>
      <c r="F21" s="1">
        <v>601183.74159828958</v>
      </c>
      <c r="G21" s="1">
        <v>13.37760713249051</v>
      </c>
      <c r="H21" s="1">
        <v>454693.62511893437</v>
      </c>
      <c r="I21" s="1">
        <v>25726.436726926739</v>
      </c>
      <c r="J21" s="1">
        <v>428967.18839200761</v>
      </c>
      <c r="K21" s="1">
        <v>17.674178120556679</v>
      </c>
    </row>
    <row r="22" spans="1:11" x14ac:dyDescent="0.35">
      <c r="A22">
        <v>6</v>
      </c>
      <c r="B22" t="s">
        <v>95</v>
      </c>
      <c r="C22" t="s">
        <v>102</v>
      </c>
      <c r="D22" s="1">
        <v>412282.15827011142</v>
      </c>
      <c r="E22" s="1">
        <v>3900.473428239593</v>
      </c>
      <c r="F22" s="1">
        <v>408381.68484187179</v>
      </c>
      <c r="G22" s="1">
        <v>105.7005427303186</v>
      </c>
      <c r="H22" s="1">
        <v>284876.30827783071</v>
      </c>
      <c r="I22" s="1">
        <v>0</v>
      </c>
      <c r="J22" s="1">
        <v>284876.30827783071</v>
      </c>
      <c r="K22" s="1"/>
    </row>
    <row r="23" spans="1:11" x14ac:dyDescent="0.35">
      <c r="A23">
        <v>6</v>
      </c>
      <c r="B23" t="s">
        <v>95</v>
      </c>
      <c r="C23" t="s">
        <v>103</v>
      </c>
      <c r="D23" s="1">
        <v>161632.5789952458</v>
      </c>
      <c r="E23" s="1">
        <v>19561.55046802654</v>
      </c>
      <c r="F23" s="1">
        <v>142071.0285272192</v>
      </c>
      <c r="G23" s="1">
        <v>8.2627693167489493</v>
      </c>
      <c r="H23" s="1">
        <v>56681.517602283537</v>
      </c>
      <c r="I23" s="1">
        <v>1774.657469077069</v>
      </c>
      <c r="J23" s="1">
        <v>54906.860133206472</v>
      </c>
      <c r="K23" s="1">
        <v>31.939412866958151</v>
      </c>
    </row>
    <row r="24" spans="1:11" x14ac:dyDescent="0.35">
      <c r="A24">
        <v>6</v>
      </c>
      <c r="B24" t="s">
        <v>95</v>
      </c>
      <c r="C24" t="s">
        <v>104</v>
      </c>
      <c r="D24" s="1">
        <v>487133.71691332589</v>
      </c>
      <c r="E24" s="1">
        <v>92864.225515775237</v>
      </c>
      <c r="F24" s="1">
        <v>394269.49139755068</v>
      </c>
      <c r="G24" s="1">
        <v>5.245655301680995</v>
      </c>
      <c r="H24" s="1">
        <v>313633.07049268333</v>
      </c>
      <c r="I24" s="1">
        <v>609.65746907706944</v>
      </c>
      <c r="J24" s="1">
        <v>313023.41302360618</v>
      </c>
      <c r="K24" s="1">
        <v>514.44144687914184</v>
      </c>
    </row>
    <row r="25" spans="1:11" x14ac:dyDescent="0.35">
      <c r="A25">
        <v>6</v>
      </c>
      <c r="B25" t="s">
        <v>95</v>
      </c>
      <c r="C25" t="s">
        <v>105</v>
      </c>
      <c r="D25" s="1">
        <v>78664.707651368852</v>
      </c>
      <c r="E25" s="1">
        <v>26599.236907726721</v>
      </c>
      <c r="F25" s="1">
        <v>52065.47074364213</v>
      </c>
      <c r="G25" s="1">
        <v>2.9574046775950111</v>
      </c>
      <c r="H25" s="1">
        <v>67838.249286393911</v>
      </c>
      <c r="I25" s="1">
        <v>17402.949571836351</v>
      </c>
      <c r="J25" s="1">
        <v>50435.299714557557</v>
      </c>
      <c r="K25" s="1">
        <v>3.8980891719745219</v>
      </c>
    </row>
    <row r="26" spans="1:11" x14ac:dyDescent="0.35">
      <c r="A26">
        <v>7</v>
      </c>
      <c r="B26" t="s">
        <v>92</v>
      </c>
      <c r="C26" t="s">
        <v>100</v>
      </c>
      <c r="D26" s="1">
        <v>1107100.5553365781</v>
      </c>
      <c r="E26" s="1">
        <v>129625.0867359054</v>
      </c>
      <c r="F26" s="1">
        <v>977475.4686006729</v>
      </c>
      <c r="G26" s="1">
        <v>8.5407893118108724</v>
      </c>
      <c r="H26" s="1">
        <v>796289.85428668396</v>
      </c>
      <c r="I26" s="1">
        <v>49857.0619819965</v>
      </c>
      <c r="J26" s="1">
        <v>746432.79230468743</v>
      </c>
      <c r="K26" s="1">
        <v>15.97145565003863</v>
      </c>
    </row>
    <row r="27" spans="1:11" x14ac:dyDescent="0.35">
      <c r="A27">
        <v>7</v>
      </c>
      <c r="B27" t="s">
        <v>92</v>
      </c>
      <c r="C27" t="s">
        <v>101</v>
      </c>
      <c r="D27" s="1">
        <v>623059.32800888643</v>
      </c>
      <c r="E27" s="1">
        <v>45371.765346408123</v>
      </c>
      <c r="F27" s="1">
        <v>577687.5626624783</v>
      </c>
      <c r="G27" s="1">
        <v>13.732313989810651</v>
      </c>
      <c r="H27" s="1">
        <v>434024</v>
      </c>
      <c r="I27" s="1">
        <v>24000</v>
      </c>
      <c r="J27" s="1">
        <v>410024</v>
      </c>
      <c r="K27" s="1">
        <v>18.08433333333333</v>
      </c>
    </row>
    <row r="28" spans="1:11" x14ac:dyDescent="0.35">
      <c r="A28">
        <v>7</v>
      </c>
      <c r="B28" t="s">
        <v>92</v>
      </c>
      <c r="C28" t="s">
        <v>102</v>
      </c>
      <c r="D28" s="1">
        <v>393960.92557276873</v>
      </c>
      <c r="E28" s="1">
        <v>6954.204359700082</v>
      </c>
      <c r="F28" s="1">
        <v>387006.72121306858</v>
      </c>
      <c r="G28" s="1">
        <v>56.650754737060858</v>
      </c>
      <c r="H28" s="1">
        <v>275000</v>
      </c>
      <c r="I28" s="1">
        <v>0</v>
      </c>
      <c r="J28" s="1">
        <v>275000</v>
      </c>
      <c r="K28" s="1"/>
    </row>
    <row r="29" spans="1:11" x14ac:dyDescent="0.35">
      <c r="A29">
        <v>7</v>
      </c>
      <c r="B29" t="s">
        <v>92</v>
      </c>
      <c r="C29" t="s">
        <v>103</v>
      </c>
      <c r="D29" s="1">
        <v>157728.0018692523</v>
      </c>
      <c r="E29" s="1">
        <v>14585.70424913683</v>
      </c>
      <c r="F29" s="1">
        <v>143142.29762011551</v>
      </c>
      <c r="G29" s="1">
        <v>10.81387632541545</v>
      </c>
      <c r="H29" s="1">
        <v>55000</v>
      </c>
      <c r="I29" s="1">
        <v>2000</v>
      </c>
      <c r="J29" s="1">
        <v>53000</v>
      </c>
      <c r="K29" s="1">
        <v>27.5</v>
      </c>
    </row>
    <row r="30" spans="1:11" x14ac:dyDescent="0.35">
      <c r="A30">
        <v>7</v>
      </c>
      <c r="B30" t="s">
        <v>92</v>
      </c>
      <c r="C30" t="s">
        <v>104</v>
      </c>
      <c r="D30" s="1">
        <v>484041.2273276918</v>
      </c>
      <c r="E30" s="1">
        <v>84253.321389497301</v>
      </c>
      <c r="F30" s="1">
        <v>399787.90593819448</v>
      </c>
      <c r="G30" s="1">
        <v>5.7450699787846053</v>
      </c>
      <c r="H30" s="1">
        <v>296000</v>
      </c>
      <c r="I30" s="1">
        <v>11812.252854443301</v>
      </c>
      <c r="J30" s="1">
        <v>284187.74714555673</v>
      </c>
      <c r="K30" s="1">
        <v>25.05872534625404</v>
      </c>
    </row>
    <row r="31" spans="1:11" x14ac:dyDescent="0.35">
      <c r="A31">
        <v>7</v>
      </c>
      <c r="B31" t="s">
        <v>92</v>
      </c>
      <c r="C31" t="s">
        <v>105</v>
      </c>
      <c r="D31" s="1">
        <v>73519.233279590233</v>
      </c>
      <c r="E31" s="1">
        <v>25190.822659837191</v>
      </c>
      <c r="F31" s="1">
        <v>48328.410619753027</v>
      </c>
      <c r="G31" s="1">
        <v>2.9184927492187498</v>
      </c>
      <c r="H31" s="1">
        <v>60000</v>
      </c>
      <c r="I31" s="1">
        <v>15500</v>
      </c>
      <c r="J31" s="1">
        <v>44500</v>
      </c>
      <c r="K31" s="1">
        <v>3.870967741935484</v>
      </c>
    </row>
    <row r="32" spans="1:11" x14ac:dyDescent="0.35">
      <c r="A32">
        <v>7</v>
      </c>
      <c r="B32" t="s">
        <v>95</v>
      </c>
      <c r="C32" t="s">
        <v>100</v>
      </c>
      <c r="D32" s="1">
        <v>1187635.494444856</v>
      </c>
      <c r="E32" s="1">
        <v>139054.53595518399</v>
      </c>
      <c r="F32" s="1">
        <v>1048580.958489672</v>
      </c>
      <c r="G32" s="1">
        <v>8.5407893118108724</v>
      </c>
      <c r="H32" s="1">
        <v>854215.17517862504</v>
      </c>
      <c r="I32" s="1">
        <v>53483.864833357198</v>
      </c>
      <c r="J32" s="1">
        <v>800731.31034526788</v>
      </c>
      <c r="K32" s="1">
        <v>15.97145565003863</v>
      </c>
    </row>
    <row r="33" spans="1:11" x14ac:dyDescent="0.35">
      <c r="A33">
        <v>7</v>
      </c>
      <c r="B33" t="s">
        <v>95</v>
      </c>
      <c r="C33" t="s">
        <v>101</v>
      </c>
      <c r="D33" s="1">
        <v>668383.1649450761</v>
      </c>
      <c r="E33" s="1">
        <v>48672.289713227859</v>
      </c>
      <c r="F33" s="1">
        <v>619710.87523184821</v>
      </c>
      <c r="G33" s="1">
        <v>13.732313989810651</v>
      </c>
      <c r="H33" s="1">
        <v>465596.64825046039</v>
      </c>
      <c r="I33" s="1">
        <v>25745.85635359116</v>
      </c>
      <c r="J33" s="1">
        <v>439850.79189686931</v>
      </c>
      <c r="K33" s="1">
        <v>18.08433333333333</v>
      </c>
    </row>
    <row r="34" spans="1:11" x14ac:dyDescent="0.35">
      <c r="A34">
        <v>7</v>
      </c>
      <c r="B34" t="s">
        <v>95</v>
      </c>
      <c r="C34" t="s">
        <v>102</v>
      </c>
      <c r="D34" s="1">
        <v>422619.2249468466</v>
      </c>
      <c r="E34" s="1">
        <v>7460.0811040981534</v>
      </c>
      <c r="F34" s="1">
        <v>415159.14384274842</v>
      </c>
      <c r="G34" s="1">
        <v>56.650754737060851</v>
      </c>
      <c r="H34" s="1">
        <v>295004.60405156529</v>
      </c>
      <c r="I34" s="1">
        <v>0</v>
      </c>
      <c r="J34" s="1">
        <v>295004.60405156529</v>
      </c>
      <c r="K34" s="1"/>
    </row>
    <row r="35" spans="1:11" x14ac:dyDescent="0.35">
      <c r="A35">
        <v>7</v>
      </c>
      <c r="B35" t="s">
        <v>95</v>
      </c>
      <c r="C35" t="s">
        <v>103</v>
      </c>
      <c r="D35" s="1">
        <v>169201.76996103031</v>
      </c>
      <c r="E35" s="1">
        <v>15646.72693392671</v>
      </c>
      <c r="F35" s="1">
        <v>153555.04302710359</v>
      </c>
      <c r="G35" s="1">
        <v>10.81387632541545</v>
      </c>
      <c r="H35" s="1">
        <v>59000.920810313073</v>
      </c>
      <c r="I35" s="1">
        <v>2145.4880294659301</v>
      </c>
      <c r="J35" s="1">
        <v>56855.432780847143</v>
      </c>
      <c r="K35" s="1">
        <v>27.5</v>
      </c>
    </row>
    <row r="36" spans="1:11" x14ac:dyDescent="0.35">
      <c r="A36">
        <v>7</v>
      </c>
      <c r="B36" t="s">
        <v>95</v>
      </c>
      <c r="C36" t="s">
        <v>104</v>
      </c>
      <c r="D36" s="1">
        <v>519252.32949977979</v>
      </c>
      <c r="E36" s="1">
        <v>90382.246241956134</v>
      </c>
      <c r="F36" s="1">
        <v>428870.08325782372</v>
      </c>
      <c r="G36" s="1">
        <v>5.7450699787846036</v>
      </c>
      <c r="H36" s="1">
        <v>317532.22836095758</v>
      </c>
      <c r="I36" s="1">
        <v>12671.52355011643</v>
      </c>
      <c r="J36" s="1">
        <v>304860.70481084118</v>
      </c>
      <c r="K36" s="1">
        <v>25.05872534625404</v>
      </c>
    </row>
    <row r="37" spans="1:11" x14ac:dyDescent="0.35">
      <c r="A37">
        <v>7</v>
      </c>
      <c r="B37" t="s">
        <v>95</v>
      </c>
      <c r="C37" t="s">
        <v>105</v>
      </c>
      <c r="D37" s="1">
        <v>78867.317468437031</v>
      </c>
      <c r="E37" s="1">
        <v>27023.304234539901</v>
      </c>
      <c r="F37" s="1">
        <v>51844.013233897131</v>
      </c>
      <c r="G37" s="1">
        <v>2.9184927492187489</v>
      </c>
      <c r="H37" s="1">
        <v>64364.640883977903</v>
      </c>
      <c r="I37" s="1">
        <v>16627.53222836096</v>
      </c>
      <c r="J37" s="1">
        <v>47737.108655616939</v>
      </c>
      <c r="K37" s="1">
        <v>3.870967741935484</v>
      </c>
    </row>
    <row r="38" spans="1:11" x14ac:dyDescent="0.35">
      <c r="A38">
        <v>8</v>
      </c>
      <c r="B38" t="s">
        <v>92</v>
      </c>
      <c r="C38" t="s">
        <v>100</v>
      </c>
      <c r="D38" s="1">
        <v>947283.18050614314</v>
      </c>
      <c r="E38" s="1">
        <v>154698.5627427361</v>
      </c>
      <c r="F38" s="1">
        <v>792584.61776340706</v>
      </c>
      <c r="G38" s="1">
        <v>6.1234129374652051</v>
      </c>
      <c r="H38" s="1">
        <v>712466.24</v>
      </c>
      <c r="I38" s="1">
        <v>56030</v>
      </c>
      <c r="J38" s="1">
        <v>656436.24</v>
      </c>
      <c r="K38" s="1">
        <v>12.71579939318222</v>
      </c>
    </row>
    <row r="39" spans="1:11" x14ac:dyDescent="0.35">
      <c r="A39">
        <v>8</v>
      </c>
      <c r="B39" t="s">
        <v>92</v>
      </c>
      <c r="C39" t="s">
        <v>101</v>
      </c>
      <c r="D39" s="1">
        <v>630712.09136271826</v>
      </c>
      <c r="E39" s="1">
        <v>69331.261046134299</v>
      </c>
      <c r="F39" s="1">
        <v>561380.83031658398</v>
      </c>
      <c r="G39" s="1">
        <v>9.0970809104861203</v>
      </c>
      <c r="H39" s="1">
        <v>456300</v>
      </c>
      <c r="I39" s="1">
        <v>25959</v>
      </c>
      <c r="J39" s="1">
        <v>430341</v>
      </c>
      <c r="K39" s="1">
        <v>17.577718710273889</v>
      </c>
    </row>
    <row r="40" spans="1:11" x14ac:dyDescent="0.35">
      <c r="A40">
        <v>8</v>
      </c>
      <c r="B40" t="s">
        <v>92</v>
      </c>
      <c r="C40" t="s">
        <v>102</v>
      </c>
      <c r="D40" s="1">
        <v>400442.55285973079</v>
      </c>
      <c r="E40" s="1">
        <v>19763.312840218019</v>
      </c>
      <c r="F40" s="1">
        <v>380679.24001951283</v>
      </c>
      <c r="G40" s="1">
        <v>20.261914391439309</v>
      </c>
      <c r="H40" s="1">
        <v>300000</v>
      </c>
      <c r="I40" s="1">
        <v>0</v>
      </c>
      <c r="J40" s="1">
        <v>300000</v>
      </c>
      <c r="K40" s="1"/>
    </row>
    <row r="41" spans="1:11" x14ac:dyDescent="0.35">
      <c r="A41">
        <v>8</v>
      </c>
      <c r="B41" t="s">
        <v>92</v>
      </c>
      <c r="C41" t="s">
        <v>103</v>
      </c>
      <c r="D41" s="1">
        <v>157524.2171085997</v>
      </c>
      <c r="E41" s="1">
        <v>22815.957563600721</v>
      </c>
      <c r="F41" s="1">
        <v>134708.2595449989</v>
      </c>
      <c r="G41" s="1">
        <v>6.9041247411813584</v>
      </c>
      <c r="H41" s="1">
        <v>62530</v>
      </c>
      <c r="I41" s="1">
        <v>2700</v>
      </c>
      <c r="J41" s="1">
        <v>59830</v>
      </c>
      <c r="K41" s="1">
        <v>23.159259259259262</v>
      </c>
    </row>
    <row r="42" spans="1:11" x14ac:dyDescent="0.35">
      <c r="A42">
        <v>8</v>
      </c>
      <c r="B42" t="s">
        <v>92</v>
      </c>
      <c r="C42" t="s">
        <v>104</v>
      </c>
      <c r="D42" s="1">
        <v>316571.08914342482</v>
      </c>
      <c r="E42" s="1">
        <v>85367.301696601848</v>
      </c>
      <c r="F42" s="1">
        <v>231203.78744682291</v>
      </c>
      <c r="G42" s="1">
        <v>3.708341283510737</v>
      </c>
      <c r="H42" s="1">
        <v>209401.92</v>
      </c>
      <c r="I42" s="1">
        <v>15373.44</v>
      </c>
      <c r="J42" s="1">
        <v>194028.48</v>
      </c>
      <c r="K42" s="1">
        <v>13.621019108280249</v>
      </c>
    </row>
    <row r="43" spans="1:11" x14ac:dyDescent="0.35">
      <c r="A43">
        <v>8</v>
      </c>
      <c r="B43" t="s">
        <v>92</v>
      </c>
      <c r="C43" t="s">
        <v>105</v>
      </c>
      <c r="D43" s="1">
        <v>74819.509532634256</v>
      </c>
      <c r="E43" s="1">
        <v>28253.452932105702</v>
      </c>
      <c r="F43" s="1">
        <v>46566.056600528551</v>
      </c>
      <c r="G43" s="1">
        <v>2.6481545357457321</v>
      </c>
      <c r="H43" s="1">
        <v>60500</v>
      </c>
      <c r="I43" s="1">
        <v>17500</v>
      </c>
      <c r="J43" s="1">
        <v>43000</v>
      </c>
      <c r="K43" s="1">
        <v>3.4571428571428569</v>
      </c>
    </row>
    <row r="44" spans="1:11" x14ac:dyDescent="0.35">
      <c r="A44">
        <v>8</v>
      </c>
      <c r="B44" t="s">
        <v>96</v>
      </c>
      <c r="C44" t="s">
        <v>100</v>
      </c>
      <c r="D44" s="1">
        <v>947283.18050614314</v>
      </c>
      <c r="E44" s="1">
        <v>154698.5627427361</v>
      </c>
      <c r="F44" s="1">
        <v>792584.61776340706</v>
      </c>
      <c r="G44" s="1">
        <v>6.1234129374652051</v>
      </c>
      <c r="H44" s="1">
        <v>712466.24</v>
      </c>
      <c r="I44" s="1">
        <v>56030</v>
      </c>
      <c r="J44" s="1">
        <v>656436.24</v>
      </c>
      <c r="K44" s="1">
        <v>12.71579939318222</v>
      </c>
    </row>
    <row r="45" spans="1:11" x14ac:dyDescent="0.35">
      <c r="A45">
        <v>8</v>
      </c>
      <c r="B45" t="s">
        <v>96</v>
      </c>
      <c r="C45" t="s">
        <v>101</v>
      </c>
      <c r="D45" s="1">
        <v>630712.09136271826</v>
      </c>
      <c r="E45" s="1">
        <v>69331.261046134299</v>
      </c>
      <c r="F45" s="1">
        <v>561380.83031658398</v>
      </c>
      <c r="G45" s="1">
        <v>9.0970809104861203</v>
      </c>
      <c r="H45" s="1">
        <v>456300</v>
      </c>
      <c r="I45" s="1">
        <v>25959</v>
      </c>
      <c r="J45" s="1">
        <v>430341</v>
      </c>
      <c r="K45" s="1">
        <v>17.577718710273889</v>
      </c>
    </row>
    <row r="46" spans="1:11" x14ac:dyDescent="0.35">
      <c r="A46">
        <v>8</v>
      </c>
      <c r="B46" t="s">
        <v>96</v>
      </c>
      <c r="C46" t="s">
        <v>102</v>
      </c>
      <c r="D46" s="1">
        <v>400442.55285973079</v>
      </c>
      <c r="E46" s="1">
        <v>19763.312840218019</v>
      </c>
      <c r="F46" s="1">
        <v>380679.24001951283</v>
      </c>
      <c r="G46" s="1">
        <v>20.261914391439309</v>
      </c>
      <c r="H46" s="1">
        <v>300000</v>
      </c>
      <c r="I46" s="1">
        <v>0</v>
      </c>
      <c r="J46" s="1">
        <v>300000</v>
      </c>
      <c r="K46" s="1"/>
    </row>
    <row r="47" spans="1:11" x14ac:dyDescent="0.35">
      <c r="A47">
        <v>8</v>
      </c>
      <c r="B47" t="s">
        <v>96</v>
      </c>
      <c r="C47" t="s">
        <v>103</v>
      </c>
      <c r="D47" s="1">
        <v>157524.2171085997</v>
      </c>
      <c r="E47" s="1">
        <v>22815.957563600721</v>
      </c>
      <c r="F47" s="1">
        <v>134708.2595449989</v>
      </c>
      <c r="G47" s="1">
        <v>6.9041247411813584</v>
      </c>
      <c r="H47" s="1">
        <v>62530</v>
      </c>
      <c r="I47" s="1">
        <v>2700</v>
      </c>
      <c r="J47" s="1">
        <v>59830</v>
      </c>
      <c r="K47" s="1">
        <v>23.159259259259262</v>
      </c>
    </row>
    <row r="48" spans="1:11" x14ac:dyDescent="0.35">
      <c r="A48">
        <v>8</v>
      </c>
      <c r="B48" t="s">
        <v>96</v>
      </c>
      <c r="C48" t="s">
        <v>104</v>
      </c>
      <c r="D48" s="1">
        <v>316571.08914342482</v>
      </c>
      <c r="E48" s="1">
        <v>85367.301696601848</v>
      </c>
      <c r="F48" s="1">
        <v>231203.78744682291</v>
      </c>
      <c r="G48" s="1">
        <v>3.708341283510737</v>
      </c>
      <c r="H48" s="1">
        <v>209401.92</v>
      </c>
      <c r="I48" s="1">
        <v>15373.44</v>
      </c>
      <c r="J48" s="1">
        <v>194028.48</v>
      </c>
      <c r="K48" s="1">
        <v>13.621019108280249</v>
      </c>
    </row>
    <row r="49" spans="1:11" x14ac:dyDescent="0.35">
      <c r="A49">
        <v>8</v>
      </c>
      <c r="B49" t="s">
        <v>96</v>
      </c>
      <c r="C49" t="s">
        <v>105</v>
      </c>
      <c r="D49" s="1">
        <v>74819.509532634256</v>
      </c>
      <c r="E49" s="1">
        <v>28253.452932105702</v>
      </c>
      <c r="F49" s="1">
        <v>46566.056600528551</v>
      </c>
      <c r="G49" s="1">
        <v>2.6481545357457321</v>
      </c>
      <c r="H49" s="1">
        <v>60500</v>
      </c>
      <c r="I49" s="1">
        <v>17500</v>
      </c>
      <c r="J49" s="1">
        <v>43000</v>
      </c>
      <c r="K49" s="1">
        <v>3.4571428571428569</v>
      </c>
    </row>
    <row r="51" spans="1:11" x14ac:dyDescent="0.35">
      <c r="F51">
        <f>F46/F44</f>
        <v>0.4803010700532529</v>
      </c>
    </row>
  </sheetData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9"/>
  <sheetViews>
    <sheetView workbookViewId="0">
      <selection activeCell="E9" sqref="E9"/>
    </sheetView>
  </sheetViews>
  <sheetFormatPr defaultRowHeight="14.5" x14ac:dyDescent="0.35"/>
  <sheetData>
    <row r="1" spans="1:6" x14ac:dyDescent="0.35">
      <c r="A1" t="s">
        <v>0</v>
      </c>
      <c r="B1" t="s">
        <v>89</v>
      </c>
      <c r="C1" t="s">
        <v>115</v>
      </c>
      <c r="D1" t="s">
        <v>116</v>
      </c>
      <c r="E1" t="s">
        <v>117</v>
      </c>
      <c r="F1" t="s">
        <v>118</v>
      </c>
    </row>
    <row r="2" spans="1:6" x14ac:dyDescent="0.35">
      <c r="A2">
        <v>5</v>
      </c>
      <c r="B2" t="s">
        <v>92</v>
      </c>
      <c r="C2">
        <v>838974.34230167</v>
      </c>
      <c r="D2">
        <v>6.0671208282807872E-2</v>
      </c>
      <c r="E2">
        <v>0.31512334929589381</v>
      </c>
      <c r="F2">
        <v>1000</v>
      </c>
    </row>
    <row r="3" spans="1:6" x14ac:dyDescent="0.35">
      <c r="A3">
        <v>5</v>
      </c>
      <c r="B3" t="s">
        <v>95</v>
      </c>
      <c r="C3">
        <v>838974.34230167</v>
      </c>
      <c r="D3">
        <v>6.0671208282807872E-2</v>
      </c>
      <c r="E3">
        <v>0.30721592030595402</v>
      </c>
      <c r="F3">
        <v>1000</v>
      </c>
    </row>
    <row r="4" spans="1:6" x14ac:dyDescent="0.35">
      <c r="A4">
        <v>6</v>
      </c>
      <c r="B4" t="s">
        <v>92</v>
      </c>
      <c r="C4">
        <v>820776.40255559189</v>
      </c>
      <c r="D4">
        <v>4.8094220286018181E-2</v>
      </c>
      <c r="E4">
        <v>0.28889789574254793</v>
      </c>
      <c r="F4">
        <v>1000</v>
      </c>
    </row>
    <row r="5" spans="1:6" x14ac:dyDescent="0.35">
      <c r="A5">
        <v>6</v>
      </c>
      <c r="B5" t="s">
        <v>95</v>
      </c>
      <c r="C5">
        <v>820776.40255559189</v>
      </c>
      <c r="D5">
        <v>4.8094220286018181E-2</v>
      </c>
      <c r="E5">
        <v>0.27655512001597049</v>
      </c>
      <c r="F5">
        <v>1000</v>
      </c>
    </row>
    <row r="6" spans="1:6" x14ac:dyDescent="0.35">
      <c r="A6">
        <v>7</v>
      </c>
      <c r="B6" t="s">
        <v>92</v>
      </c>
      <c r="C6">
        <v>978780.98931246053</v>
      </c>
      <c r="D6">
        <v>1.9627345347140671E-2</v>
      </c>
      <c r="E6">
        <v>0.24559586558042551</v>
      </c>
      <c r="F6">
        <v>1000</v>
      </c>
    </row>
    <row r="7" spans="1:6" x14ac:dyDescent="0.35">
      <c r="A7">
        <v>7</v>
      </c>
      <c r="B7" t="s">
        <v>95</v>
      </c>
      <c r="C7">
        <v>978780.98931246053</v>
      </c>
      <c r="D7">
        <v>1.9627345347140671E-2</v>
      </c>
      <c r="E7">
        <v>0.2434212991618781</v>
      </c>
      <c r="F7">
        <v>1000</v>
      </c>
    </row>
    <row r="8" spans="1:6" x14ac:dyDescent="0.35">
      <c r="A8">
        <v>8</v>
      </c>
      <c r="B8" t="s">
        <v>92</v>
      </c>
      <c r="C8">
        <v>1190699.4214756619</v>
      </c>
      <c r="D8">
        <v>1.5766705708856719E-2</v>
      </c>
      <c r="E8">
        <v>0.1596259984360397</v>
      </c>
      <c r="F8">
        <v>1000</v>
      </c>
    </row>
    <row r="9" spans="1:6" x14ac:dyDescent="0.35">
      <c r="A9">
        <v>8</v>
      </c>
      <c r="B9" t="s">
        <v>96</v>
      </c>
      <c r="C9">
        <v>1190699.4214756619</v>
      </c>
      <c r="D9">
        <v>1.5766705708856719E-2</v>
      </c>
      <c r="E9">
        <v>0.1596259984360397</v>
      </c>
      <c r="F9">
        <v>1000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structure</vt:lpstr>
      <vt:lpstr>sample_sizes</vt:lpstr>
      <vt:lpstr>overall_medians</vt:lpstr>
      <vt:lpstr>group_stats</vt:lpstr>
      <vt:lpstr>gaps</vt:lpstr>
      <vt:lpstr>renter_private_wealth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Nicolas Wiecek</cp:lastModifiedBy>
  <dcterms:created xsi:type="dcterms:W3CDTF">2026-04-24T10:12:07Z</dcterms:created>
  <dcterms:modified xsi:type="dcterms:W3CDTF">2026-05-06T13:20:04Z</dcterms:modified>
</cp:coreProperties>
</file>